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careWork\Place for icare\Data\Raw\"/>
    </mc:Choice>
  </mc:AlternateContent>
  <xr:revisionPtr revIDLastSave="0" documentId="8_{EA0E2294-13B0-47AB-BD67-312F683C15A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01_Current_Admin" sheetId="1" r:id="rId1"/>
    <sheet name="02_Evidence_Log" sheetId="2" r:id="rId2"/>
    <sheet name="03_District_Profile" sheetId="3" r:id="rId3"/>
    <sheet name="04_Market_Locations" sheetId="4" r:id="rId4"/>
    <sheet name="05_District_Market_Footprint" sheetId="5" r:id="rId5"/>
    <sheet name="06_iCare_Coverage_Evidence" sheetId="6" r:id="rId6"/>
    <sheet name="07_District_Traffic_Evidence" sheetId="7" r:id="rId7"/>
    <sheet name="08_District_Traffic_Summary" sheetId="8" r:id="rId8"/>
    <sheet name="11_Old_Project_Universe_Researc" sheetId="9" r:id="rId9"/>
    <sheet name="12_Old_Project_Universe_Method" sheetId="10" r:id="rId10"/>
    <sheet name="13_Additional_Context_Evidence" sheetId="11" r:id="rId11"/>
    <sheet name="09_District_Opportunity_Base" sheetId="12" r:id="rId12"/>
    <sheet name="10_Gaps_Next" sheetId="13" r:id="rId13"/>
    <sheet name="14_Complete_Screening_Core" sheetId="14" r:id="rId14"/>
    <sheet name="15_Top3_Corridor_Research" sheetId="15" r:id="rId15"/>
    <sheet name="16_Top3_Corridor_Evidence" sheetId="16" r:id="rId16"/>
    <sheet name="17_Top3_Corridor_Method" sheetId="17" r:id="rId17"/>
    <sheet name="18_Corridor_Context_Anchors" sheetId="18" r:id="rId18"/>
    <sheet name="19_Corridor_Rent_Evidence" sheetId="19" r:id="rId19"/>
    <sheet name="20_Corridor_Property_Proxy" sheetId="20" r:id="rId20"/>
    <sheet name="21_Corridor_DeepDive_Readiness" sheetId="21" r:id="rId21"/>
    <sheet name="22_Corridor_Rent_Summary" sheetId="22" r:id="rId22"/>
    <sheet name="23_Corridor_Research_Status" sheetId="23" r:id="rId23"/>
    <sheet name="24_Top5_Research_Audit" sheetId="24" r:id="rId24"/>
    <sheet name="25_Top5_Data_Completeness" sheetId="25" r:id="rId25"/>
  </sheets>
  <calcPr calcId="191029"/>
  <fileRecoveryPr repairLoad="1"/>
</workbook>
</file>

<file path=xl/calcChain.xml><?xml version="1.0" encoding="utf-8"?>
<calcChain xmlns="http://schemas.openxmlformats.org/spreadsheetml/2006/main">
  <c r="O20" i="25" l="1"/>
  <c r="Q20" i="25" s="1"/>
  <c r="O19" i="25"/>
  <c r="Q19" i="25" s="1"/>
  <c r="O18" i="25"/>
  <c r="Q18" i="25" s="1"/>
  <c r="O17" i="25"/>
  <c r="Q17" i="25" s="1"/>
  <c r="Q16" i="25"/>
  <c r="O16" i="25"/>
  <c r="O15" i="25"/>
  <c r="Q15" i="25" s="1"/>
  <c r="O14" i="25"/>
  <c r="Q14" i="25" s="1"/>
  <c r="O13" i="25"/>
  <c r="Q13" i="25" s="1"/>
  <c r="O12" i="25"/>
  <c r="Q12" i="25" s="1"/>
  <c r="Q11" i="25"/>
  <c r="O11" i="25"/>
  <c r="Q10" i="25"/>
  <c r="O10" i="25"/>
  <c r="O9" i="25"/>
  <c r="Q9" i="25" s="1"/>
  <c r="O8" i="25"/>
  <c r="Q8" i="25" s="1"/>
  <c r="O7" i="25"/>
  <c r="Q7" i="25" s="1"/>
  <c r="O6" i="25"/>
  <c r="Q6" i="25" s="1"/>
  <c r="O5" i="25"/>
  <c r="Q5" i="25" s="1"/>
  <c r="O4" i="25"/>
  <c r="Q4" i="25" s="1"/>
  <c r="O3" i="25"/>
  <c r="Q3" i="25" s="1"/>
  <c r="O2" i="25"/>
  <c r="Q2" i="25" s="1"/>
</calcChain>
</file>

<file path=xl/sharedStrings.xml><?xml version="1.0" encoding="utf-8"?>
<sst xmlns="http://schemas.openxmlformats.org/spreadsheetml/2006/main" count="6215" uniqueCount="2045">
  <si>
    <t>Khu vực quen thuộc</t>
  </si>
  <si>
    <t>Cụm nghiên cứu hiện hành</t>
  </si>
  <si>
    <t>Phường hiện hành sau sáp nhập</t>
  </si>
  <si>
    <t>Diện tích (km²)</t>
  </si>
  <si>
    <t>Dân số dùng để sắp xếp</t>
  </si>
  <si>
    <t>Mật độ (người/km²)</t>
  </si>
  <si>
    <t>Mốc dữ liệu</t>
  </si>
  <si>
    <t>Nguồn chính</t>
  </si>
  <si>
    <t>Trạng thái nguồn</t>
  </si>
  <si>
    <t>Ghi chú</t>
  </si>
  <si>
    <t>Quận 7</t>
  </si>
  <si>
    <t>Cụm Tân Thuận – Phú Thuận – Tân Mỹ – Tân Hưng</t>
  </si>
  <si>
    <t>Tân Thuận</t>
  </si>
  <si>
    <t>2024/2025</t>
  </si>
  <si>
    <t>https://vnlawfirm.vn/tra-cuu-34-tinh-tp/ho-chi-minh/tan-thuan/</t>
  </si>
  <si>
    <t>Đã có nguồn</t>
  </si>
  <si>
    <t>Tên Quận 7 dùng để người đọc dễ định vị; số liệu dùng theo phường hiện hành sau sáp nhập.</t>
  </si>
  <si>
    <t>Phú Thuận</t>
  </si>
  <si>
    <t>https://www.nhatot.com/kinh-nghiem/ubnd-phuong-phu-thuan-tphcm.html</t>
  </si>
  <si>
    <t>Không dùng dân số Quận 7 trước sáp nhập làm số hiện hành.</t>
  </si>
  <si>
    <t>Tân Mỹ</t>
  </si>
  <si>
    <t>https://vnlawfirm.vn/tra-cuu-34-tinh-tp/ho-chi-minh/tan-my/</t>
  </si>
  <si>
    <t>Phường hiện hành.</t>
  </si>
  <si>
    <t>Tân Hưng</t>
  </si>
  <si>
    <t>https://static3.luatvietnam.vn/uploaded/vietlawfile/2025/5/s_2896_bnv_cqdp_290525104723.pdf</t>
  </si>
  <si>
    <t>Số hậu sáp nhập dùng để so sánh hiện hành.</t>
  </si>
  <si>
    <t>Bình Tân</t>
  </si>
  <si>
    <t>Cụm An Lạc – Bình Tân – Tân Tạo – Bình Trị Đông – Bình Hưng Hòa</t>
  </si>
  <si>
    <t>An Lạc</t>
  </si>
  <si>
    <t>https://vnlawfirm.vn/tra-cuu-34-tinh-tp/ho-chi-minh/an-lac/</t>
  </si>
  <si>
    <t>https://vnlawfirm.vn/tra-cuu-34-tinh-tp/ho-chi-minh/binh-tan/</t>
  </si>
  <si>
    <t>Tân Tạo</t>
  </si>
  <si>
    <t>2025</t>
  </si>
  <si>
    <t>https://phuongtantao.gov.vn/le-cong-bo-cac-nghi-quyet-quyet-dinh-cua-thanh-uy-ve-thanh-lap-to-chuc-dang-chi-dinh-cap-uy-hoi-dong-nhan-dan-uy-ban-nhan-dan-uy-ban-mat-tran-to-quoc-viet-nam-phuong-tan-tao.html</t>
  </si>
  <si>
    <t>Nguồn phường</t>
  </si>
  <si>
    <t>Ưu tiên số từ website chính thức phường Tân Tạo.</t>
  </si>
  <si>
    <t>Bình Trị Đông</t>
  </si>
  <si>
    <t>2025/2026</t>
  </si>
  <si>
    <t>https://fileth.hcm.edu.vn/data/doc/2025/thbinhtri1/2025_9/25/ke-hoach-giao-duc-nam-hoc-2025-2026_259202515.pdf</t>
  </si>
  <si>
    <t>Nguồn hành chính/giáo dục địa phương.</t>
  </si>
  <si>
    <t>Bình Hưng Hòa</t>
  </si>
  <si>
    <t>https://ttbc-hcm.gov.vn/tp-hcm-can-bo-phuong-xa-vao-guong-voi-bo-may-moi-1019091.html</t>
  </si>
  <si>
    <t>Có số mô tả</t>
  </si>
  <si>
    <t>Nguồn nêu hơn 187.000 người; chưa ép thành số chính xác.</t>
  </si>
  <si>
    <t>Tân Phú</t>
  </si>
  <si>
    <t>Cụm Tây Thạnh – Tân Sơn Nhì – Phú Thọ Hòa – Tân Phú – Phú Thạnh</t>
  </si>
  <si>
    <t>Tây Thạnh</t>
  </si>
  <si>
    <t>https://tphcm.city.com.vn/tay-thanh</t>
  </si>
  <si>
    <t>Nguồn thứ cấp</t>
  </si>
  <si>
    <t>Nên thay bằng nguồn chính thức nếu tìm được.</t>
  </si>
  <si>
    <t>Tân Sơn Nhì</t>
  </si>
  <si>
    <t>https://vnlawfirm.vn/tra-cuu-34-tinh-tp/ho-chi-minh/tan-son-nhi/</t>
  </si>
  <si>
    <t>Phú Thọ Hòa</t>
  </si>
  <si>
    <t>https://vnlawfirm.vn/tra-cuu-34-tinh-tp/ho-chi-minh/phu-tho-hoa/</t>
  </si>
  <si>
    <t>https://vnlawfirm.vn/tra-cuu-34-tinh-tp/ho-chi-minh/tan-phu/</t>
  </si>
  <si>
    <t>Phú Thạnh</t>
  </si>
  <si>
    <t>https://thuvienphapluat.vn/cong-van/bo-may-hanh-chinh/Cong-van-2896-BNV-CQDP-2025-cung-cap-thong-tin-danh-muc-du-kien-don-vi-hanh-chinh-cap-xa-moi-658752.aspx</t>
  </si>
  <si>
    <t>Nguồn pháp lý/tổng hợp</t>
  </si>
  <si>
    <t>Dùng số hậu sáp nhập.</t>
  </si>
  <si>
    <t>Dĩ An</t>
  </si>
  <si>
    <t>Cụm Dĩ An – Đông Hòa – Tân Đông Hiệp</t>
  </si>
  <si>
    <t>https://xaydungchinhsach.chinhphu.vn/binh-duong-thong-qua-de-an-sap-xep-dvhc-con-36-phuong-xa-119250422210421893.htm</t>
  </si>
  <si>
    <t>Nguồn Chính phủ</t>
  </si>
  <si>
    <t>Phường Dĩ An hiện hành sau sáp nhập.</t>
  </si>
  <si>
    <t>Đông Hòa</t>
  </si>
  <si>
    <t>Tân Đông Hiệp</t>
  </si>
  <si>
    <t>Quận 2</t>
  </si>
  <si>
    <t>Cụm An Khánh – Bình Trưng – Cát Lái</t>
  </si>
  <si>
    <t>An Khánh</t>
  </si>
  <si>
    <t>https://truongtho.tpthuduc.hochiminhcity.gov.vn/nguoi-dan-can-biet/phuong-an-sap-xep-don-vi-hanh-chinh-phuong-thuoc-thanh-pho-thu-duc/ct/6262/26734</t>
  </si>
  <si>
    <t>Nguồn chính quyền địa phương</t>
  </si>
  <si>
    <t>Nhãn Quận 2 dùng để dễ định vị; phạm vi được tái lập từ ba phường hiện hành, không dùng toàn TP Thủ Đức.</t>
  </si>
  <si>
    <t>Bình Trưng</t>
  </si>
  <si>
    <t>Chỉ dùng phần địa bàn liên quan Quận 2 cũ.</t>
  </si>
  <si>
    <t>Cát Lái</t>
  </si>
  <si>
    <t>Không cộng các phường khác của TP Thủ Đức vào phạm vi so sánh Quận 2.</t>
  </si>
  <si>
    <t>Phú Nhuận</t>
  </si>
  <si>
    <t>Purchasing power proxy</t>
  </si>
  <si>
    <t>Apartment market</t>
  </si>
  <si>
    <t>Asking-price range</t>
  </si>
  <si>
    <t>60.8 - 119.4 triệu đồng/m²</t>
  </si>
  <si>
    <t>2026</t>
  </si>
  <si>
    <t>https://batdongsan.com.vn/ban-can-ho-chung-cu-phu-nhuan/1pn</t>
  </si>
  <si>
    <t>Batdongsan.com.vn</t>
  </si>
  <si>
    <t>Supporting proxy</t>
  </si>
  <si>
    <t>Listing-market proxy, not income.</t>
  </si>
  <si>
    <t>Bà Rịa</t>
  </si>
  <si>
    <t>Area benchmark</t>
  </si>
  <si>
    <t>TP Bà Rịa cũ</t>
  </si>
  <si>
    <t>Natural area</t>
  </si>
  <si>
    <t>91.036 km² (2019 land-use atlas)</t>
  </si>
  <si>
    <t>2019</t>
  </si>
  <si>
    <t>https://atlas.baria-vungtau.gov.vn/ThongTinChiTiet.aspx?keymap=K7_1</t>
  </si>
  <si>
    <t>BR-VT provincial atlas</t>
  </si>
  <si>
    <t>Official area fallback</t>
  </si>
  <si>
    <t>Year differs from population reference.</t>
  </si>
  <si>
    <t>Vũng Tàu</t>
  </si>
  <si>
    <t>TP Vũng Tàu cũ</t>
  </si>
  <si>
    <t>150.896 km² (2019 land-use atlas)</t>
  </si>
  <si>
    <t>Combine with 2024 population only with mixed-year flag.</t>
  </si>
  <si>
    <t>Thủ Dầu Một</t>
  </si>
  <si>
    <t>Traffic</t>
  </si>
  <si>
    <t>Huỳnh Văn Cù – cầu Phú Cường</t>
  </si>
  <si>
    <t>Congestion risk / gateway</t>
  </si>
  <si>
    <t>Official city police warned of likely congestion on holiday traffic</t>
  </si>
  <si>
    <t>2024</t>
  </si>
  <si>
    <t>https://thudaumot.binhduong.gov.vn/chi-tiet?id=ART240900000006</t>
  </si>
  <si>
    <t>Official local government / police</t>
  </si>
  <si>
    <t>Traffic context</t>
  </si>
  <si>
    <t>Holiday-period evidence, not AADT.</t>
  </si>
  <si>
    <t>Số phường hiện hành</t>
  </si>
  <si>
    <t>Tổng diện tích đã có (km²)</t>
  </si>
  <si>
    <t>Tổng dân số số hóa được</t>
  </si>
  <si>
    <t>Mật độ tổng hợp (người/km²)</t>
  </si>
  <si>
    <t>KCN / doanh nghiệp</t>
  </si>
  <si>
    <t>Mức độ tập trung dân cư (theo evidence)</t>
  </si>
  <si>
    <t>Chung cư / khu đô thị nổi bật</t>
  </si>
  <si>
    <t>Văn phòng / cụm doanh nghiệp</t>
  </si>
  <si>
    <t>TTTM / thương mại</t>
  </si>
  <si>
    <t>Nguồn DN / KCN</t>
  </si>
  <si>
    <t>Nguồn dân cư / chung cư</t>
  </si>
  <si>
    <t>Nguồn văn phòng / thương mại</t>
  </si>
  <si>
    <t>Nguồn purchasing power</t>
  </si>
  <si>
    <t>Trạng thái readiness</t>
  </si>
  <si>
    <t>Ghi chú sử dụng</t>
  </si>
  <si>
    <t>Tân Thuận; Phú Thuận; Tân Mỹ; Tân Hưng</t>
  </si>
  <si>
    <t>KCX Tân Thuận; cụm DN/văn phòng Phú Mỹ Hưng</t>
  </si>
  <si>
    <t>Mật độ tổng hợp tương đối cao; nhiều cụm căn hộ và khu đô thị dịch vụ.</t>
  </si>
  <si>
    <t>Nhiều chung cư; cụm dân cư Phú Mỹ Hưng</t>
  </si>
  <si>
    <t>Phú Mỹ Hưng; Golden King</t>
  </si>
  <si>
    <t>Cụm thương mại – dịch vụ Phú Mỹ Hưng</t>
  </si>
  <si>
    <t>Chưa có proxy hậu sáp nhập đồng nhất. Thu nhập Quận 7 năm 2022 chỉ giữ làm historical reference: 16,699 triệu đồng/NLĐ/tháng.</t>
  </si>
  <si>
    <t>https://hepza.hochiminhcity.gov.vn/vn/khu-che-xuat-tan-thuan</t>
  </si>
  <si>
    <t>https://blog.rever.vn/danh-sach-chi-tiet-chung-cu-quan-7-quy-mo-va-tinh-trang-ban-giao</t>
  </si>
  <si>
    <t>https://maisonoffice.vn/tin-tuc/tiem-nang-van-phong-moi-thu-thiem-va-phu-my-hung/
https://5office.vn/danh-sach-15-cong-ty-dang-thue-van-phong-tai-golden-king-quan-7/</t>
  </si>
  <si>
    <t>https://thongkehochiminh.gso.gov.vn/Niengiam/2023/DOANH%20NGHIEP_1.pdf</t>
  </si>
  <si>
    <t>Gần đủ</t>
  </si>
  <si>
    <t>Tên “Quận 7” chỉ là nhãn khu vực quen thuộc; phân tích hiện hành theo 4 phường sau sáp nhập.</t>
  </si>
  <si>
    <t>An Lạc; Bình Tân; Tân Tạo; Bình Trị Đông; Bình Hưng Hòa</t>
  </si>
  <si>
    <t>KCN Tân Tạo; KCN Tân Tạo mở rộng; cụm sản xuất – công nghiệp.</t>
  </si>
  <si>
    <t>Dân số số hóa lớn; có các cụm chung cư lớn. Bình Hưng Hòa hiện mới có nguồn mô tả “hơn 187.000 người”, chưa ép thành số chính xác.</t>
  </si>
  <si>
    <t>Akari City; Moonlight Park View; EHome 3</t>
  </si>
  <si>
    <t>Chưa có cụm văn phòng nổi bật tương đương Quận 7; thiên về công nghiệp – dân cư.</t>
  </si>
  <si>
    <t>Cụm dịch vụ đô thị dọc các trục dân cư lớn</t>
  </si>
  <si>
    <t>Chưa có proxy hậu sáp nhập đồng nhất. Thu nhập Bình Tân năm 2022 chỉ giữ làm historical reference: 10,152 triệu đồng/NLĐ/tháng.</t>
  </si>
  <si>
    <t>https://hepza.gvbsoft.vn/IndustrialContents.aspx?id=205
https://congbao.hochiminhcity.gov.vn/DKC.MFiles.CB/Gazette/DownLoadFileResult/32810</t>
  </si>
  <si>
    <t>https://blog.rever.vn/top-3-chung-cu-dong-duc-nhon-nhip-noi-bat-quan-binh-tan</t>
  </si>
  <si>
    <t>Tổng dân số trong bảng chưa cộng Bình Hưng Hòa vì chưa có số chính xác dạng số.</t>
  </si>
  <si>
    <t>Tây Thạnh; Tân Sơn Nhì; Phú Thọ Hòa; Tân Phú; Phú Thạnh</t>
  </si>
  <si>
    <t>Có nguồn Open Data TP.HCM và Cổng tra cứu DN TP.HCM; cần tiếp tục lọc chi tiết theo địa bàn hiện hành.</t>
  </si>
  <si>
    <t>Mật độ tổng hợp rất cao trong 4 cụm đang screening; nhiều trục dân cư – thương mại và dự án căn hộ.</t>
  </si>
  <si>
    <t>Celadon City (~82 ha); RichStar; Carillon 7 (625 căn); Melody Residences (704 căn)</t>
  </si>
  <si>
    <t>Chưa có bằng chứng cụm văn phòng mạnh như Quận 7; cần củng cố dữ liệu doanh nghiệp/văn phòng.</t>
  </si>
  <si>
    <t>Khu AEON – Celadon; Hòa Bình; Lũy Bán Bích; Âu Cơ</t>
  </si>
  <si>
    <t>Chưa có proxy hậu sáp nhập đồng nhất. Thu nhập Tân Phú năm 2022 chỉ giữ làm historical reference: 11,131 triệu đồng/NLĐ/tháng.</t>
  </si>
  <si>
    <t>https://doanhnghiep.hochiminhcity.gov.vn/TraCuuTTDN_portal/
https://opendata.hochiminhcity.gov.vn/dataset/danh-s%C3%A1ch-c%C3%A1c-doanh-nghi%E1%BB%87p-hi%E1%BB%87n-nay</t>
  </si>
  <si>
    <t>https://www.gamudaland.com.vn/vn/developments/celadon-city
https://richstar.vn/
https://carillon7.vn/
https://batdongsan.com.vn/du-an-can-ho-chung-cu-tan-phu/melody-residences-pj2042</t>
  </si>
  <si>
    <t>https://www.gamudaland.com.vn/vn/developments/celadon-city</t>
  </si>
  <si>
    <t>Ưu tiên bổ sung dữ liệu doanh nghiệp/văn phòng hiện tại trước khi ra quyết định Top 3.</t>
  </si>
  <si>
    <t>Dĩ An; Đông Hòa; Tân Đông Hiệp</t>
  </si>
  <si>
    <t>Phường Dĩ An: 222 doanh nghiệp sản xuất; 53.518 lao động (nguồn 2026).</t>
  </si>
  <si>
    <t>Mật độ tổng hợp thấp hơn các cụm nội đô nhưng có nền dân cư lớn và tập trung lao động công nghiệp.</t>
  </si>
  <si>
    <t>Bcons Garden: 4 block; 1.815 căn hộ; hơn 4.000 cư dân</t>
  </si>
  <si>
    <t>Nổi bật hơn ở cụm DN sản xuất/KCN; chưa có bằng chứng cụm văn phòng lớn.</t>
  </si>
  <si>
    <t>Vincom Dĩ An; GO! Dĩ An</t>
  </si>
  <si>
    <t>Chưa có proxy thu nhập 2025–2026 đồng nhất với 3 khu còn lại.</t>
  </si>
  <si>
    <t>https://dian.gov.vn/tin-tuc/phuong-di-an-hop-nam-tinh-hinh-kham-suc-khoe-dinh-ky-tai-doanh-nghiep</t>
  </si>
  <si>
    <t>https://dian.binhduong.gov.vn/tin-tuc/van-hoa-xa-hoi/hdnd-tp-di-an-khao-sat-cac-chung-cu-tai-phuong-di-an.html</t>
  </si>
  <si>
    <t>https://thuvienphapluat.vn/van-ban/Thuong-mai/Quyet-dinh-654-QD-UBND-2025-thuc-hien-Chien-luoc-phat-trien-thuong-mai-trong-nuoc-Binh-Duong-662071.aspx</t>
  </si>
  <si>
    <t>Tên “Dĩ An” dùng như nhãn khu vực quen thuộc; phân tích theo các phường hiện hành sau sáp nhập.</t>
  </si>
  <si>
    <t>An Khánh; Bình Trưng; Cát Lái</t>
  </si>
  <si>
    <t>Cảng Cát Lái; business proxy tại ba phường hiện hành.</t>
  </si>
  <si>
    <t>Quy mô dân số nhỏ hơn ba khu vực ưu tiên và mật độ thấp hơn; cấu trúc dân cư phân hóa mạnh theo khu đô thị.</t>
  </si>
  <si>
    <t>Thảo Điền – An Phú – Thủ Thiêm; các cụm căn hộ ở Bình Trưng.</t>
  </si>
  <si>
    <t>Thủ Thiêm/An Phú có văn phòng – dịch vụ; Cát Lái thiên logistics.</t>
  </si>
  <si>
    <t>Vincom Mega Mall Thảo Điền; các trục Mai Chí Thọ – Trần Não – Nguyễn Thị Định.</t>
  </si>
  <si>
    <t>Proxy trung điểm giá chào căn hộ = 319,35 triệu đồng/m², bị kéo mạnh bởi phân khúc hạng sang; không phải thu nhập hay mức giá phổ biến.</t>
  </si>
  <si>
    <t>https://findbase.vn/ma-so-thue/ho-chi-minh/phuong-an-khanh
https://findbase.vn/ma-so-thue/ho-chi-minh/phuong-binh-trung
https://findbase.vn/ma-so-thue/ho-chi-minh/phuong-cat-lai</t>
  </si>
  <si>
    <t>https://moc.gov.vn/en/news/83848/bo-xay-dung-cong-bo-thong-tin-ve-nha-o-va-thi-truong-bat-dong-san-trong-quy-iv-nam-2024-va-ca-nam-2024.aspx</t>
  </si>
  <si>
    <t>https://vincom.com.vn/vincom-mega-mall-thao-dien/gioi-thieu</t>
  </si>
  <si>
    <t>https://batdongsan.com.vn/ban-can-ho-chung-cu-quan-2</t>
  </si>
  <si>
    <t>Cần bổ sung</t>
  </si>
  <si>
    <t>Giữ làm khu vực so sánh. Chưa thay đổi Top 3 vì dữ liệu giá thuê theo đúng 5 tuyến và demographic chi tiết còn thiếu.</t>
  </si>
  <si>
    <t>branch_id</t>
  </si>
  <si>
    <t>brand</t>
  </si>
  <si>
    <t>branch_name</t>
  </si>
  <si>
    <t>address</t>
  </si>
  <si>
    <t>district_old</t>
  </si>
  <si>
    <t>latitude</t>
  </si>
  <si>
    <t>longitude</t>
  </si>
  <si>
    <t>verified_date</t>
  </si>
  <si>
    <t>source_url</t>
  </si>
  <si>
    <t>coordinate_source</t>
  </si>
  <si>
    <t>manual_review_applied</t>
  </si>
  <si>
    <t>manual_source</t>
  </si>
  <si>
    <t>manual_note</t>
  </si>
  <si>
    <t>analysis_role</t>
  </si>
  <si>
    <t>BHO_01</t>
  </si>
  <si>
    <t>Bảo Hành One</t>
  </si>
  <si>
    <t>Bảo Hành One - Nguyễn Thái Học</t>
  </si>
  <si>
    <t>195 Nguyễn Thái Học, Q.1, TP.HCM</t>
  </si>
  <si>
    <t>Quận 1</t>
  </si>
  <si>
    <t>2026-10-06</t>
  </si>
  <si>
    <t>https://baohanhone.com/pages/thong-tin-lien-he</t>
  </si>
  <si>
    <t>Google Maps</t>
  </si>
  <si>
    <t>YES</t>
  </si>
  <si>
    <t>Exact business pin verified</t>
  </si>
  <si>
    <t>COMPETITOR_EVIDENCE</t>
  </si>
  <si>
    <t>BHO_02</t>
  </si>
  <si>
    <t>Bảo Hành One - 3 Tháng 2</t>
  </si>
  <si>
    <t>1E Đường 3 Tháng 2, P.11, Q.10, TP.HCM</t>
  </si>
  <si>
    <t>Quận 10</t>
  </si>
  <si>
    <t>LocationIQ</t>
  </si>
  <si>
    <t>NO</t>
  </si>
  <si>
    <t>BHO_03</t>
  </si>
  <si>
    <t>Bảo Hành One - Trường Chinh</t>
  </si>
  <si>
    <t>721 Trường Chinh, Q.Tân Phú, TP.HCM</t>
  </si>
  <si>
    <t>CCL_01</t>
  </si>
  <si>
    <t>Cấp Cứu Laptop</t>
  </si>
  <si>
    <t>Cấp Cứu Laptop - CN4</t>
  </si>
  <si>
    <t>365-367 Điện Biên Phủ, P.15, Bình Thạnh, TP.HCM</t>
  </si>
  <si>
    <t>Bình Thạnh</t>
  </si>
  <si>
    <t>https://capcuulaptop.com/trangchu/</t>
  </si>
  <si>
    <t>CCL_02</t>
  </si>
  <si>
    <t>Cấp Cứu Laptop - CN5</t>
  </si>
  <si>
    <t>498-500 Kinh Dương Vương, P.An Lạc A, Bình Tân, TP.HCM</t>
  </si>
  <si>
    <t>CCL_03</t>
  </si>
  <si>
    <t>Cấp Cứu Laptop - CN2</t>
  </si>
  <si>
    <t>127-129 Bùi Viện, Phạm Ngũ Lão, Quận 1, TP.HCM</t>
  </si>
  <si>
    <t>CCL_04</t>
  </si>
  <si>
    <t>Cấp Cứu Laptop - CN1</t>
  </si>
  <si>
    <t>683-685 Ba Tháng Hai, Phường 6, Quận 10, TP.HCM</t>
  </si>
  <si>
    <t>CCL_05</t>
  </si>
  <si>
    <t>Cấp Cứu Laptop - CN3</t>
  </si>
  <si>
    <t>747-749 Đường 3/2, Phường 7, Quận 10, TP.HCM</t>
  </si>
  <si>
    <t>DOC_01</t>
  </si>
  <si>
    <t>Doctor Laptop</t>
  </si>
  <si>
    <t>Doctor Laptop - 3/2</t>
  </si>
  <si>
    <t>91A Đường 3/2, Phường 11, Quận 10, TP.HCM</t>
  </si>
  <si>
    <t>https://doctorlaptop.com.vn/sua-laptop-lay-lien.html</t>
  </si>
  <si>
    <t>DOC_02</t>
  </si>
  <si>
    <t>Doctor Laptop - CMT8</t>
  </si>
  <si>
    <t>179 Cách Mạng Tháng 8, P.5, Q.3, TP.HCM</t>
  </si>
  <si>
    <t>Quận 3</t>
  </si>
  <si>
    <t>HTT_01</t>
  </si>
  <si>
    <t>Hợp Thành Thịnh</t>
  </si>
  <si>
    <t>Hợp Thành Thịnh - Showroom</t>
  </si>
  <si>
    <t>406/55 Cộng Hòa, Tân Bình, TP.HCM</t>
  </si>
  <si>
    <t>Tân Bình</t>
  </si>
  <si>
    <t>https://htt.com.vn/lien-he</t>
  </si>
  <si>
    <t>PV_01</t>
  </si>
  <si>
    <t>Phong Vũ</t>
  </si>
  <si>
    <t>Phong Vũ Phan Đăng Lưu</t>
  </si>
  <si>
    <t>26B Phan Đăng Lưu, Phường Gia Định, TP.HCM</t>
  </si>
  <si>
    <t>https://phongvu.vn/p/he-thong-showroom-phong-vu</t>
  </si>
  <si>
    <t>PV_02</t>
  </si>
  <si>
    <t>Phong Vũ Nguyễn Oanh</t>
  </si>
  <si>
    <t>2A Nguyễn Oanh, Phường Hạnh Thông, TP.HCM</t>
  </si>
  <si>
    <t>Gò Vấp</t>
  </si>
  <si>
    <t>PV_03</t>
  </si>
  <si>
    <t>Phong Vũ Nguyễn Ảnh Thủ</t>
  </si>
  <si>
    <t>38M Nguyễn Ảnh Thủ, Phường Trung Mỹ Tây, TP.HCM</t>
  </si>
  <si>
    <t>Quận 12</t>
  </si>
  <si>
    <t>PV_04</t>
  </si>
  <si>
    <t>Phong Vũ Cách Mạng Tháng 8</t>
  </si>
  <si>
    <t>132E Cách Mạng Tháng Tám, Phường Nhiêu Lộc, TP.HCM</t>
  </si>
  <si>
    <t>PV_05</t>
  </si>
  <si>
    <t>Phong Vũ Nguyễn Thị Minh Khai / CMT8</t>
  </si>
  <si>
    <t>262A-262B-264-264A-264B Nguyễn Thị Minh Khai, 26-26/2A-28/4-26/3 Cách Mạng Tháng Tám, Phường Xuân Hòa, TP.HCM</t>
  </si>
  <si>
    <t>PV_06</t>
  </si>
  <si>
    <t>Phong Vũ Khánh Hội</t>
  </si>
  <si>
    <t>162-164 Khánh Hội, Phường Khánh Hội, TP.HCM</t>
  </si>
  <si>
    <t>Quận 4</t>
  </si>
  <si>
    <t>PV_07</t>
  </si>
  <si>
    <t>Phong Vũ Hậu Giang</t>
  </si>
  <si>
    <t>1081A-1081C Hậu Giang, Phường Bình Phú, TP.HCM</t>
  </si>
  <si>
    <t>Quận 6</t>
  </si>
  <si>
    <t>PV_08</t>
  </si>
  <si>
    <t>Phong Vũ Nguyễn Thị Thập</t>
  </si>
  <si>
    <t>9-11 Nguyễn Thị Thập, Phường Tân Mỹ, TP.HCM</t>
  </si>
  <si>
    <t>PV_09</t>
  </si>
  <si>
    <t>Phong Vũ Lê Văn Việt</t>
  </si>
  <si>
    <t>164 Lê Văn Việt, Phường Tăng Nhơn Phú, TP.HCM</t>
  </si>
  <si>
    <t>Thủ Đức</t>
  </si>
  <si>
    <t>PV_10</t>
  </si>
  <si>
    <t>Phong Vũ Võ Văn Ngân</t>
  </si>
  <si>
    <t>269-271 Võ Văn Ngân, Phường Thủ Đức, TP.HCM</t>
  </si>
  <si>
    <t>PV_11</t>
  </si>
  <si>
    <t>Phong Vũ Hoàng Hoa Thám</t>
  </si>
  <si>
    <t>02 Hoàng Hoa Thám, Phường Bảy Hiền, TP.HCM</t>
  </si>
  <si>
    <t>SGC_01</t>
  </si>
  <si>
    <t>Sài Gòn Computer</t>
  </si>
  <si>
    <t>Sài Gòn Computer - CN1</t>
  </si>
  <si>
    <t>115A Lê Quang Định, Bình Thạnh, TP.HCM</t>
  </si>
  <si>
    <t>https://saigoncomputer.vn/gop-y.html</t>
  </si>
  <si>
    <t>SGC_02</t>
  </si>
  <si>
    <t>Sài Gòn Computer - CN2</t>
  </si>
  <si>
    <t>87 Trần Đình Xu, Quận 1, TP.HCM</t>
  </si>
  <si>
    <t>TVC_01</t>
  </si>
  <si>
    <t>Thành Vinh Center</t>
  </si>
  <si>
    <t>179 Quốc lộ 13, Bình Thạnh, TP.HCM</t>
  </si>
  <si>
    <t>https://www.thanhvinh.com.vn/</t>
  </si>
  <si>
    <t>TT_01</t>
  </si>
  <si>
    <t>Trường Thịnh Group</t>
  </si>
  <si>
    <t>Trường Thịnh - CN7</t>
  </si>
  <si>
    <t>264F Bạch Đằng, P.24, Bình Thạnh, TP.HCM</t>
  </si>
  <si>
    <t>https://truongthinh.info/</t>
  </si>
  <si>
    <t>TT_02</t>
  </si>
  <si>
    <t>Trường Thịnh - CN12</t>
  </si>
  <si>
    <t>853 Tỉnh Lộ 10, Bình Trị Đông B, Bình Tân, TP.HCM</t>
  </si>
  <si>
    <t>TT_03</t>
  </si>
  <si>
    <t>Trường Thịnh - CN1</t>
  </si>
  <si>
    <t>881 Phan Văn Trị, Gò Vấp, TP.HCM</t>
  </si>
  <si>
    <t>TT_04</t>
  </si>
  <si>
    <t>Trường Thịnh - CN11</t>
  </si>
  <si>
    <t>142 Hoàng Văn Thụ, P.9, Phú Nhuận, TP.HCM</t>
  </si>
  <si>
    <t>TT_05</t>
  </si>
  <si>
    <t>Trường Thịnh - CN10</t>
  </si>
  <si>
    <t>362 Đường 3/2, P.12, Q.10, TP.HCM</t>
  </si>
  <si>
    <t>TT_06</t>
  </si>
  <si>
    <t>Trường Thịnh - CN2</t>
  </si>
  <si>
    <t>304 Tô Ký, Phường Trung Mỹ Tây (Quận 12 cũ), TP.HCM</t>
  </si>
  <si>
    <t>TT_07</t>
  </si>
  <si>
    <t>Trường Thịnh - CN9</t>
  </si>
  <si>
    <t>318 Lê Văn Lương, Tân Quy, Quận 7, TP.HCM</t>
  </si>
  <si>
    <t>TT_08</t>
  </si>
  <si>
    <t>Trường Thịnh - CN5</t>
  </si>
  <si>
    <t>415A Song Hành, Trường Thọ, Thủ Đức, TP.HCM</t>
  </si>
  <si>
    <t>TT_09</t>
  </si>
  <si>
    <t>Trường Thịnh - CN6</t>
  </si>
  <si>
    <t>709 Nguyễn Xiển, P.Long Thạnh Mỹ, Thủ Đức, TP.HCM</t>
  </si>
  <si>
    <t>TT_10</t>
  </si>
  <si>
    <t>Trường Thịnh - CN3</t>
  </si>
  <si>
    <t>383 Nguyễn Trọng Tuyển, P.2, Tân Bình, TP.HCM</t>
  </si>
  <si>
    <t>TT_11</t>
  </si>
  <si>
    <t>Trường Thịnh - CN4</t>
  </si>
  <si>
    <t>391 Cộng Hòa, Tân Bình, TP.HCM</t>
  </si>
  <si>
    <t>TT_12</t>
  </si>
  <si>
    <t>Trường Thịnh - CN8</t>
  </si>
  <si>
    <t>644 Lũy Bán Bích, Tân Thành, Tân Phú, TP.HCM</t>
  </si>
  <si>
    <t>ICARE_01</t>
  </si>
  <si>
    <t>iCare Center</t>
  </si>
  <si>
    <t>iCare Hùng Vương</t>
  </si>
  <si>
    <t>151 Hùng Vương, Phường Chợ Quán, TP.HCM</t>
  </si>
  <si>
    <t>Quận 5</t>
  </si>
  <si>
    <t>https://icare.center/lien-he</t>
  </si>
  <si>
    <t>ICARE_EXISTING</t>
  </si>
  <si>
    <t>ICARE_02</t>
  </si>
  <si>
    <t>iCare Dân Chủ</t>
  </si>
  <si>
    <t>97 Dân Chủ, Phường Thủ Đức, TP.HCM</t>
  </si>
  <si>
    <t>ICARE_03</t>
  </si>
  <si>
    <t>iCare Hoàng Văn Thụ</t>
  </si>
  <si>
    <t>216 Hoàng Văn Thụ, Phường Tân Sơn Nhất, TP.HCM</t>
  </si>
  <si>
    <t>DTV_01</t>
  </si>
  <si>
    <t>Điện Thoại Vui</t>
  </si>
  <si>
    <t>Điện Thoại Vui Nguyễn Thị Tú</t>
  </si>
  <si>
    <t>132 Nguyễn Thị Tú, P. Bình Hưng Hòa B, Q.Bình Tân, TP.HCM</t>
  </si>
  <si>
    <t>https://dienthoaivui.com.vn/sua-chua-laptop/thay-man-hinh-laptop/thay-man-hinh-laptop-dell/</t>
  </si>
  <si>
    <t>DTV_02</t>
  </si>
  <si>
    <t>Điện Thoại Vui Quang Trung</t>
  </si>
  <si>
    <t>615 Quang Trung, P.11, Q.Gò Vấp, TP.HCM</t>
  </si>
  <si>
    <t>https://dienthoaivui.com.vn/sua-chua-laptop</t>
  </si>
  <si>
    <t>DTV_03</t>
  </si>
  <si>
    <t>Điện Thoại Vui Nguyễn Thái Học</t>
  </si>
  <si>
    <t>136 Nguyễn Thái Học, P. Phạm Ngũ Lão, Q.1, TP.HCM</t>
  </si>
  <si>
    <t>DTV_04</t>
  </si>
  <si>
    <t>Điện Thoại Vui Trần Quang Khải</t>
  </si>
  <si>
    <t>81A Trần Quang Khải, P. Tân Định, Q.1, TP.HCM</t>
  </si>
  <si>
    <t>DTV_05</t>
  </si>
  <si>
    <t>Điện Thoại Vui 3 Tháng 2</t>
  </si>
  <si>
    <t>300 Đường 3 Tháng 2, P.12, Q.10, TP.HCM</t>
  </si>
  <si>
    <t>DTV_06</t>
  </si>
  <si>
    <t>Điện Thoại Vui Khánh Hội</t>
  </si>
  <si>
    <t>191 Khánh Hội, P.6, Q.4, TP.HCM</t>
  </si>
  <si>
    <t>DTV_07</t>
  </si>
  <si>
    <t>Điện Thoại Vui Hậu Giang</t>
  </si>
  <si>
    <t>1075 Hậu Giang, P.11, Q.6, TP.HCM</t>
  </si>
  <si>
    <t>DTV_08</t>
  </si>
  <si>
    <t>Điện Thoại Vui Nguyễn Thị Thập</t>
  </si>
  <si>
    <t>207 Nguyễn Thị Thập, P. Tân Phú, Q.7, TP.HCM</t>
  </si>
  <si>
    <t>DTV_09</t>
  </si>
  <si>
    <t>Điện Thoại Vui Lê Văn Việt</t>
  </si>
  <si>
    <t>129 Lê Văn Việt, P. Hiệp Phú, Q.9, TP.HCM</t>
  </si>
  <si>
    <t>DTV_10</t>
  </si>
  <si>
    <t>Điện Thoại Vui Võ Văn Ngân</t>
  </si>
  <si>
    <t>25 Võ Văn Ngân, P. Trường Thọ, TP.Thủ Đức, TP.HCM</t>
  </si>
  <si>
    <t>DTV_11</t>
  </si>
  <si>
    <t>Điện Thoại Vui Trần Não</t>
  </si>
  <si>
    <t>35 Trần Não, P. Bình An, Q.2, TP.HCM</t>
  </si>
  <si>
    <t>DTV_12</t>
  </si>
  <si>
    <t>Điện Thoại Vui Hoàng Văn Thụ</t>
  </si>
  <si>
    <t>250 Hoàng Văn Thụ, P.4, Q.Tân Bình, TP.HCM</t>
  </si>
  <si>
    <t>DTV_13</t>
  </si>
  <si>
    <t>Điện Thoại Vui Âu Cơ</t>
  </si>
  <si>
    <t>570 Âu Cơ, P.10, Q.Tân Bình, TP.HCM</t>
  </si>
  <si>
    <t>DTV_14</t>
  </si>
  <si>
    <t>Điện Thoại Vui Hòa Bình</t>
  </si>
  <si>
    <t>43D Hòa Bình, P. Tân Thới Hòa, Q.Tân Phú, TP.HCM</t>
  </si>
  <si>
    <t>DTV_15</t>
  </si>
  <si>
    <t>Điện Thoại Vui Nguyễn Ảnh Thủ</t>
  </si>
  <si>
    <t>56/2B Nguyễn Ảnh Thủ, Q.12, TP.HCM</t>
  </si>
  <si>
    <t>2026-10-09</t>
  </si>
  <si>
    <t>User manual-check; exact coordinate supplied 2026-10-09</t>
  </si>
  <si>
    <t>DTV_16</t>
  </si>
  <si>
    <t>Điện Thoại Vui Phan Văn Hớn</t>
  </si>
  <si>
    <t>6/5C Phan Văn Hớn, Q.12, TP.HCM</t>
  </si>
  <si>
    <t>DTV_17</t>
  </si>
  <si>
    <t>Điện Thoại Vui Huỳnh Tấn Phát</t>
  </si>
  <si>
    <t>352 Huỳnh Tấn Phát, Q.7, TP.HCM</t>
  </si>
  <si>
    <t>DTV_18</t>
  </si>
  <si>
    <t>Điện Thoại Vui Điện Biên Phủ</t>
  </si>
  <si>
    <t>383 Điện Biên Phủ, Bình Thạnh, TP.HCM</t>
  </si>
  <si>
    <t>DTV_19</t>
  </si>
  <si>
    <t>Điện Thoại Vui Dĩ An</t>
  </si>
  <si>
    <t>196 Nguyễn An Ninh, Dĩ An, Bình Dương cũ</t>
  </si>
  <si>
    <t>DTV_20</t>
  </si>
  <si>
    <t>Điện Thoại Vui Thủ Dầu Một</t>
  </si>
  <si>
    <t>451 Đại lộ Bình Dương, Thủ Dầu Một, Bình Dương cũ</t>
  </si>
  <si>
    <t>DTV_21</t>
  </si>
  <si>
    <t>Điện Thoại Vui Vũng Tàu</t>
  </si>
  <si>
    <t>256A Ba Cu, Vũng Tàu, Bà Rịa - Vũng Tàu cũ</t>
  </si>
  <si>
    <t>PV_12</t>
  </si>
  <si>
    <t>Phong Vũ Thủ Dầu Một</t>
  </si>
  <si>
    <t>408 Đại lộ Bình Dương, Thủ Dầu Một, Bình Dương cũ</t>
  </si>
  <si>
    <t>PV_13</t>
  </si>
  <si>
    <t>Phong Vũ Dĩ An</t>
  </si>
  <si>
    <t>67-69 Nguyễn An Ninh, Dĩ An, Bình Dương cũ</t>
  </si>
  <si>
    <t>PV_14</t>
  </si>
  <si>
    <t>Phong Vũ Vũng Tàu</t>
  </si>
  <si>
    <t>Lô 11 G2 Nguyễn Thái Học, Vũng Tàu, Bà Rịa - Vũng Tàu cũ</t>
  </si>
  <si>
    <t>PV_15</t>
  </si>
  <si>
    <t>Phong Vũ Bà Rịa</t>
  </si>
  <si>
    <t>82 Bạch Đằng, Bà Rịa, Bà Rịa - Vũng Tàu cũ</t>
  </si>
  <si>
    <t>total_verified_locations</t>
  </si>
  <si>
    <t>verified_competitor_locations_excl_icare</t>
  </si>
  <si>
    <t>verified_competitor_brands_excl_icare</t>
  </si>
  <si>
    <t>icare_verified_locations</t>
  </si>
  <si>
    <t>icare_direct_presence</t>
  </si>
  <si>
    <t>location_share_pct_all_brands</t>
  </si>
  <si>
    <t>competition_rank_old_project</t>
  </si>
  <si>
    <t>competition_level_old_project</t>
  </si>
  <si>
    <t>top_brand_old_project</t>
  </si>
  <si>
    <t>top_brand_location_count</t>
  </si>
  <si>
    <t>old_project_universe</t>
  </si>
  <si>
    <t>coverage_note</t>
  </si>
  <si>
    <t>interpretation_guardrail</t>
  </si>
  <si>
    <t>source_dataset</t>
  </si>
  <si>
    <t>LOW</t>
  </si>
  <si>
    <t>Direct district presence only; use sheet 06 for distance-based evidence.</t>
  </si>
  <si>
    <t>Competitor concentration is market-activity evidence, not demand or service quality.</t>
  </si>
  <si>
    <t>competitor_branch_location_updated.csv + 03_location_summary_by_area.csv</t>
  </si>
  <si>
    <t>HIGH</t>
  </si>
  <si>
    <t>Cấp Cứu Laptop | Phong Vũ | Sài Gòn Computer | Thành Vinh Center | Trường Thịnh Group | Điện Thoại Vui</t>
  </si>
  <si>
    <t>MEDIUM</t>
  </si>
  <si>
    <t>Cấp Cứu Laptop | Trường Thịnh Group | Điện Thoại Vui</t>
  </si>
  <si>
    <t>Điện Thoại Vui | Phong Vũ</t>
  </si>
  <si>
    <t>Phong Vũ | Trường Thịnh Group | Điện Thoại Vui</t>
  </si>
  <si>
    <t>Phong Vũ | Điện Thoại Vui</t>
  </si>
  <si>
    <t>Trường Thịnh Group | Điện Thoại Vui</t>
  </si>
  <si>
    <t>Bảo Hành One | Trường Thịnh Group | Điện Thoại Vui</t>
  </si>
  <si>
    <t>nearest_icare_km</t>
  </si>
  <si>
    <t>beyond_3km</t>
  </si>
  <si>
    <t>beyond_5km</t>
  </si>
  <si>
    <t>nearest_icare_branch</t>
  </si>
  <si>
    <t>evidence_role</t>
  </si>
  <si>
    <t>method_guardrail</t>
  </si>
  <si>
    <t>MARKET_EVIDENCE_POINT</t>
  </si>
  <si>
    <t>Distance from verified competitor point to nearest verified iCare; observed white-space evidence only, not district-wide catchment.</t>
  </si>
  <si>
    <t>Khu vực</t>
  </si>
  <si>
    <t>Tuyến / nút</t>
  </si>
  <si>
    <t>Loại evidence</t>
  </si>
  <si>
    <t>Ngày / năm</t>
  </si>
  <si>
    <t>Nguồn / cơ quan</t>
  </si>
  <si>
    <t>Source URL</t>
  </si>
  <si>
    <t>Evidence dùng</t>
  </si>
  <si>
    <t>Vai trò trong screening</t>
  </si>
  <si>
    <t>Guardrail</t>
  </si>
  <si>
    <t>Nguyễn Văn Linh – Nguyễn Hữu Thọ</t>
  </si>
  <si>
    <t>TRAFFIC_SAFETY / FLOW_MANAGEMENT</t>
  </si>
  <si>
    <t>2024-09-26</t>
  </si>
  <si>
    <t>Phòng CSGT TP.HCM</t>
  </si>
  <si>
    <t>https://csgt-congan.hochiminhcity.gov.vn/wps/portal/Home/trang-chu/noi-dung-chi-tiet/tin-giao-thong/nsg_tangcuongtuyennvlvahuynhtanphat2024</t>
  </si>
  <si>
    <t>CSGT khảo sát và thống nhất giải pháp bảo đảm TTATGT tại Nguyễn Văn Linh, gồm khu vực giao Nguyễn Hữu Thọ.</t>
  </si>
  <si>
    <t>Evidence về vai trò giao thông của trục chính trong khu vực.</t>
  </si>
  <si>
    <t>Không phải AADT hay số lượt xe.</t>
  </si>
  <si>
    <t>Huỳnh Tấn Phát</t>
  </si>
  <si>
    <t>CSGT nêu tuyến Huỳnh Tấn Phát đoạn cầu Tân Thuận 1 đến cầu Phú Xuân trong chương trình khắc phục bất cập và bảo đảm TTATGT.</t>
  </si>
  <si>
    <t>Evidence trục giao thông nội khu/cửa ngõ phía Nam.</t>
  </si>
  <si>
    <t>Không suy ra lưu lượng tuyệt đối.</t>
  </si>
  <si>
    <t>Nguyễn Văn Linh / Nguyễn Hữu Thọ / cầu Phú Mỹ</t>
  </si>
  <si>
    <t>GATEWAY_ROUTE</t>
  </si>
  <si>
    <t>2026-06</t>
  </si>
  <si>
    <t>https://csgt-congan.hochiminhcity.gov.vn/wps/portal/Home/trang-chu/noi-dung-chi-tiet/tin-giao-thong/dp_b6_02626</t>
  </si>
  <si>
    <t>Lộ trình thay thế khi hạn chế cầu Phú Mỹ đi qua Nguyễn Văn Linh và Nguyễn Hữu Thọ.</t>
  </si>
  <si>
    <t>Evidence kết nối liên khu vực/cửa ngõ.</t>
  </si>
  <si>
    <t>Lộ trình phân luồng, không phải lưu lượng đo.</t>
  </si>
  <si>
    <t>Kinh Dương Vương – Bến xe Miền Tây</t>
  </si>
  <si>
    <t>CONGESTION / TRANSPORT_HUB</t>
  </si>
  <si>
    <t>2023-04</t>
  </si>
  <si>
    <t>https://csgt-congan.hochiminhcity.gov.vn/wps/portal/Home/trang-chu/noi-dung-chi-tiet/tin-giao-thong/doi3_phanluonggt30t4nam2023</t>
  </si>
  <si>
    <t>CSGT xếp khu vực Bến xe Miền Tây và Kinh Dương Vương, Quốc lộ 1 vào nhóm khu vực mật độ phương tiện đông trong cao điểm lễ.</t>
  </si>
  <si>
    <t>Evidence traffic concentration quanh hub vận tải.</t>
  </si>
  <si>
    <t>Nguồn cao điểm lễ; không phải traffic trung bình ngày.</t>
  </si>
  <si>
    <t>Kinh Dương Vương – Tên Lửa</t>
  </si>
  <si>
    <t>CONGESTION / DIVERSION</t>
  </si>
  <si>
    <t>2023</t>
  </si>
  <si>
    <t>https://csgt-congan.hochiminhcity.gov.vn/wps/portal/Home/trang-chu/noi-dung-chi-tiet/tin-giao-thong/doi3_65-203</t>
  </si>
  <si>
    <t>CSGT hướng dẫn vòng tránh khu vực Bến xe Miền Tây qua Kinh Dương Vương, Tên Lửa, Hồ Học Lãm và Võ Văn Kiệt.</t>
  </si>
  <si>
    <t>Evidence về nhu cầu phân luồng tại một nút/hub lớn.</t>
  </si>
  <si>
    <t>Không phải số lượt xe.</t>
  </si>
  <si>
    <t>Võ Trần Chí</t>
  </si>
  <si>
    <t>TRAFFIC_ORGANIZATION</t>
  </si>
  <si>
    <t>2025-06-07</t>
  </si>
  <si>
    <t>Sở Xây dựng / Cổng GT TP.HCM</t>
  </si>
  <si>
    <t>https://giaothong.hochiminhcity.gov.vn/Information/Tintuc.aspx?cat=%5B&amp;id=ee20c51a-e3cf-43db-a4b3-d9b8054d9a73</t>
  </si>
  <si>
    <t>Điều chỉnh tổ chức giao thông trên đường gom song hành Võ Trần Chí, gồm hạn chế xe tải và xe khách lớn.</t>
  </si>
  <si>
    <t>Evidence trục có tổ chức giao thông chuyên biệt và phương tiện nặng.</t>
  </si>
  <si>
    <t>Không quy đổi thành traffic score.</t>
  </si>
  <si>
    <t>Quốc lộ 1 – Tân Kỳ Tân Quý</t>
  </si>
  <si>
    <t>GATEWAY / FLOW_MANAGEMENT</t>
  </si>
  <si>
    <t>https://csgt-congan.hochiminhcity.gov.vn/wps/portal/Home/trang-chu/noi-dung-chi-tiet/tin-tuc-hoat-dong/pl_tuyentruyendoinguttaixehoatdongtaibxmt</t>
  </si>
  <si>
    <t>CSGT tổ chức hoạt động bảo đảm TTATGT dọc Kinh Dương Vương – Quốc lộ 1; lộ trình đi qua cầu vượt Gò Mây và khu Tân Kỳ Tân Quý.</t>
  </si>
  <si>
    <t>Evidence bổ trợ cho trục cửa ngõ phía Tây.</t>
  </si>
  <si>
    <t>Không phải đo lưu lượng.</t>
  </si>
  <si>
    <t>Trường Chinh – Tân Kỳ Tân Quý – Lê Trọng Tấn</t>
  </si>
  <si>
    <t>DIVERSION / ALTERNATIVE_ROUTE</t>
  </si>
  <si>
    <t>2026-08-27</t>
  </si>
  <si>
    <t>https://csgt-congan.hochiminhcity.gov.vn/wps/portal/Home/trang-chu/noi-dung-chi-tiet/tin-giao-thong/d3_02092026_27826</t>
  </si>
  <si>
    <t>CSGT đưa Trường Chinh vào nhóm tuyến cần lộ trình thay thế; một phương án đi Tân Kỳ Tân Quý → Lê Trọng Tấn → Nguyễn Thị Tú.</t>
  </si>
  <si>
    <t>Evidence vai trò traffic cụm trục phía Tây Bắc.</t>
  </si>
  <si>
    <t>Nguồn điều tiết dịp lễ; không phải AADT.</t>
  </si>
  <si>
    <t>Trường Chinh đoạn Âu Cơ – Tân Kỳ Tân Quý</t>
  </si>
  <si>
    <t>2026-04-24</t>
  </si>
  <si>
    <t>https://csgt-congan.hochiminhcity.gov.vn/wps/portal/Home/trang-chu/noi-dung-chi-tiet/tin-giao-thong/doi3_hoatdongle30t4nam2026</t>
  </si>
  <si>
    <t>CSGT có phương án vòng tránh riêng cho Trường Chinh đoạn Âu Cơ đến Tân Kỳ Tân Quý.</t>
  </si>
  <si>
    <t>Evidence trực tiếp cho mạng trục Tân Phú.</t>
  </si>
  <si>
    <t>Không suy ra thứ hạng traffic tuyệt đối.</t>
  </si>
  <si>
    <t>Quốc lộ 1 – cầu vượt Tân Thới Hiệp</t>
  </si>
  <si>
    <t>CONGESTION / GATEWAY</t>
  </si>
  <si>
    <t>CSGT có phương án xử lý khi ùn tắc Quốc lộ 1 từ cầu vượt Tân Thới Hiệp về Nguyễn Văn Quá.</t>
  </si>
  <si>
    <t>Evidence áp lực giao thông trên cửa ngõ Quốc lộ 1.</t>
  </si>
  <si>
    <t>Không phải traffic trung bình ngày.</t>
  </si>
  <si>
    <t>Lê Văn Khương – Nguyễn Ảnh Thủ – Tô Ký</t>
  </si>
  <si>
    <t>DIVERSION / NETWORK_ROLE</t>
  </si>
  <si>
    <t>Ba tuyến được dùng làm chuỗi phân luồng thay thế khi Quốc lộ 1 xảy ra ùn tắc.</t>
  </si>
  <si>
    <t>Evidence vai trò mạng lưới liên quận/cửa ngõ.</t>
  </si>
  <si>
    <t>Không tự động đồng nghĩa retail traffic tốt.</t>
  </si>
  <si>
    <t>Ngã tư Đình – Tân Thới Hiệp / Đông Hưng Thuận</t>
  </si>
  <si>
    <t>TRAFFIC_MANAGEMENT_PROJECT</t>
  </si>
  <si>
    <t>2026-10-10</t>
  </si>
  <si>
    <t>https://csgt-congan.hochiminhcity.gov.vn/wps/portal/Home/trang-chu/noi-dung-chi-tiet/tin-tuc-hoat-dong/ansuong-tuyentruyennutgiaonga4dinh2026</t>
  </si>
  <si>
    <t>CSGT tổ chức riêng hội nghị và giải pháp bảo đảm giao thông cho thi công nút giao Ngã tư Đình.</t>
  </si>
  <si>
    <t>Evidence hiện hành về điểm nút cần quản lý giao thông.</t>
  </si>
  <si>
    <t>Không phải thước đo demand.</t>
  </si>
  <si>
    <t>Đỗ Mười – cầu vượt Tân Thới Hiệp</t>
  </si>
  <si>
    <t>HEAVY_TRAFFIC_CONTEXT</t>
  </si>
  <si>
    <t>2026-03-11</t>
  </si>
  <si>
    <t>https://csgt-congan.hochiminhcity.gov.vn/wps/portal/Home/trang-chu/noi-dung-chi-tiet/tin-giao-thong/as_110320263</t>
  </si>
  <si>
    <t>CSGT ghi nhận tình trạng đường đông tại thời điểm xe tải chuyển làn gần cầu vượt Tân Thới Hiệp.</t>
  </si>
  <si>
    <t>Evidence bổ trợ traffic context.</t>
  </si>
  <si>
    <t>Một sự kiện đơn lẻ, không dùng làm volume.</t>
  </si>
  <si>
    <t>Xô Viết Nghệ Tĩnh – Quốc lộ 13 – Đinh Bộ Lĩnh</t>
  </si>
  <si>
    <t>CSGT hướng dẫn hạn chế lưu thông và vòng tránh khu vực Bến xe Miền Đông cũ.</t>
  </si>
  <si>
    <t>Evidence traffic concentration quanh đầu mối vận tải.</t>
  </si>
  <si>
    <t>Không phải AADT.</t>
  </si>
  <si>
    <t>Bình Triệu – Quốc lộ 13</t>
  </si>
  <si>
    <t>2025-08</t>
  </si>
  <si>
    <t>https://csgt-congan.hochiminhcity.gov.vn/wps/portal/Home/trang-chu/noi-dung-chi-tiet/tin-giao-thong/doi3_tuyenduong2-9</t>
  </si>
  <si>
    <t>Khi sửa cầu Bình Triệu, CSGT tổ chức lại luồng qua Xô Viết Nghệ Tĩnh – Quốc lộ 13 – Đinh Bộ Lĩnh – Nguyễn Xí – Phạm Văn Đồng.</t>
  </si>
  <si>
    <t>Evidence cửa ngõ Đông Bắc và nhu cầu điều tiết.</t>
  </si>
  <si>
    <t>Không đo lưu lượng tuyệt đối.</t>
  </si>
  <si>
    <t>Đinh Bộ Lĩnh – Bạch Đằng / Xô Viết Nghệ Tĩnh / Hàng Xanh</t>
  </si>
  <si>
    <t>CONGESTION_HOTSPOT / DIVERSION</t>
  </si>
  <si>
    <t>CSGT liệt kê nhiều điểm cần lộ trình thay thế tại Bình Thạnh.</t>
  </si>
  <si>
    <t>Evidence breadth nhiều nút traffic.</t>
  </si>
  <si>
    <t>Không phải count phương tiện.</t>
  </si>
  <si>
    <t>Chu Văn An – Xô Viết Nghệ Tĩnh – Nguyễn Xí – Quốc lộ 13</t>
  </si>
  <si>
    <t>TEMPORARY_TRAFFIC_RESTRICTION</t>
  </si>
  <si>
    <t>2025-10</t>
  </si>
  <si>
    <t>https://giaothong.hochiminhcity.gov.vn/Information/Tintuc.aspx?cat=%5B&amp;id=748d9918-2b95-46c6-8aea-7260516119a4</t>
  </si>
  <si>
    <t>Sở Xây dựng yêu cầu hạn chế lưu thông trên nhiều tuyến tại phường Bình Thạnh để hạn chế ùn tắc.</t>
  </si>
  <si>
    <t>Evidence bổ trợ nhu cầu quản lý traffic.</t>
  </si>
  <si>
    <t>Sự kiện ngắn hạn.</t>
  </si>
  <si>
    <t>Quốc lộ 1K / Đỗ Mười</t>
  </si>
  <si>
    <t>REGIONAL_GATEWAY</t>
  </si>
  <si>
    <t>CSGT dùng Quốc lộ 1K / Đỗ Mười như tuyến thay thế kết nối TP.HCM với Đồng Nai.</t>
  </si>
  <si>
    <t>Evidence traffic liên vùng.</t>
  </si>
  <si>
    <t>Không có volume comparable.</t>
  </si>
  <si>
    <t>ĐT743 – Mỹ Phước Tân Vạn – Quốc lộ 1</t>
  </si>
  <si>
    <t>Lộ trình từ Bình Dương cũ vào TP.HCM sử dụng ĐT743, Mỹ Phước–Tân Vạn và Quốc lộ 1/1K.</t>
  </si>
  <si>
    <t>Evidence vai trò cửa ngõ liên vùng.</t>
  </si>
  <si>
    <t>Không phải local retail traffic.</t>
  </si>
  <si>
    <t>Cộng Hòa</t>
  </si>
  <si>
    <t>MAJOR_ARTERIAL / CONGESTION</t>
  </si>
  <si>
    <t>2023-06-15</t>
  </si>
  <si>
    <t>https://csgt-congan.hochiminhcity.gov.vn/wps/portal/Home/trang-chu/noi-dung-chi-tiet/tin-tuc-hoat-dong/tsn_14</t>
  </si>
  <si>
    <t>CSGT mô tả Cộng Hòa là trục huyết mạch cửa ngõ Tây Bắc vào trung tâm, hằng ngày có hàng vạn phương tiện và có thời điểm ùn ứ.</t>
  </si>
  <si>
    <t>Strong traffic evidence.</t>
  </si>
  <si>
    <t>Không phải AADT chuẩn hóa.</t>
  </si>
  <si>
    <t>Trường Chinh – Cộng Hòa – Hoàng Văn Thụ</t>
  </si>
  <si>
    <t>2025-04</t>
  </si>
  <si>
    <t>https://csgt-congan.hochiminhcity.gov.vn/wps/portal/Home/trang-chu/noi-dung-chi-tiet/tin-giao-thong/doi3_21042025</t>
  </si>
  <si>
    <t>Các tuyến được dùng trong nhiều lộ trình thay thế liên quận, gồm kết nối sân bay và khu trung tâm.</t>
  </si>
  <si>
    <t>Evidence breadth mạng lưới Tân Bình.</t>
  </si>
  <si>
    <t>Không quy đổi thành lưu lượng tuyệt đối.</t>
  </si>
  <si>
    <t>3 Tháng 2 – Lý Thường Kiệt</t>
  </si>
  <si>
    <t>https://csgt-congan.hochiminhcity.gov.vn/wps/portal/Home/trang-chu/noi-dung-chi-tiet/tin-giao-thong/doi3_phanluonggtkn50nam2025</t>
  </si>
  <si>
    <t>3 Tháng 2 và Lý Thường Kiệt xuất hiện trong lộ trình liên quận thay thế.</t>
  </si>
  <si>
    <t>Evidence vai trò kết nối xuyên trung tâm.</t>
  </si>
  <si>
    <t>Không phải traffic volume.</t>
  </si>
  <si>
    <t>Hai Bà Trưng – Lê Thánh Tôn – Đồng Khởi</t>
  </si>
  <si>
    <t>CENTRAL_TRAFFIC_MANAGEMENT</t>
  </si>
  <si>
    <t>https://csgt-congan.hochiminhcity.gov.vn/wps/portal/Home/trang-chu/noi-dung-chi-tiet/tin-giao-thong/d3_thongbaothaydoilt19042025</t>
  </si>
  <si>
    <t>CSGT tổ chức nhiều lộ trình thay thế tại lõi trung tâm Quận 1.</t>
  </si>
  <si>
    <t>Evidence traffic-management intensity tại CBD.</t>
  </si>
  <si>
    <t>Không đồng nghĩa storefront fit.</t>
  </si>
  <si>
    <t>Nam Kỳ Khởi Nghĩa – Võ Văn Tần – Điện Biên Phủ</t>
  </si>
  <si>
    <t>https://csgt-congan.hochiminhcity.gov.vn/wps/portal/Home/trang-chu/noi-dung-chi-tiet/tin-giao-thong/d3_dieuchinh20042025</t>
  </si>
  <si>
    <t>Nhiều tuyến Quận 3 được dùng làm lộ trình thay thế giữa Quận 1 và Quận 3.</t>
  </si>
  <si>
    <t>Evidence vai trò mạng giao thông lõi trung tâm.</t>
  </si>
  <si>
    <t>Nguyễn Tất Thành – Hoàng Diệu – cầu Khánh Hội</t>
  </si>
  <si>
    <t>GATEWAY / DIVERSION</t>
  </si>
  <si>
    <t>https://csgt-congan.hochiminhcity.gov.vn/wps/portal/Home/trang-chu/noi-dung-chi-tiet/tin-giao-thong/doi1_27042025</t>
  </si>
  <si>
    <t>Nguyễn Tất Thành – Hoàng Diệu – cầu Khánh Hội nằm trong lộ trình thay thế.</t>
  </si>
  <si>
    <t>Evidence cửa ngõ khu Nam – trung tâm.</t>
  </si>
  <si>
    <t>Không phải lưu lượng chuẩn hóa.</t>
  </si>
  <si>
    <t>Hùng Vương – Nguyễn Chí Thanh – Võ Văn Kiệt</t>
  </si>
  <si>
    <t>CENTRAL_RING / FLOW_MANAGEMENT</t>
  </si>
  <si>
    <t>2019-12</t>
  </si>
  <si>
    <t>https://csgt-congan.hochiminhcity.gov.vn/wps/portal/Home/trang-chu/noi-dung-chi-tiet/tin-giao-thong/phongcsgt-tangcuongcongtac-dambaottatgt-chungketseagame30</t>
  </si>
  <si>
    <t>CSGT dùng Hùng Vương, Nguyễn Chí Thanh, Võ Văn Kiệt trong vành đai hạn chế xe tải nặng.</t>
  </si>
  <si>
    <t>Evidence vai trò trục chính và quản lý luồng xe.</t>
  </si>
  <si>
    <t>Nguồn cũ; chỉ dùng context.</t>
  </si>
  <si>
    <t>Võ Nguyên Giáp – Phạm Văn Đồng – Võ Văn Ngân</t>
  </si>
  <si>
    <t>REGIONAL_GATEWAY / DIVERSION</t>
  </si>
  <si>
    <t>Võ Nguyên Giáp, Võ Văn Ngân và Phạm Văn Đồng nằm trong các lộ trình thay thế liên vùng/cửa ngõ Đông.</t>
  </si>
  <si>
    <t>Evidence gateway role của Thủ Đức.</t>
  </si>
  <si>
    <t>Không đồng nhất với Quận 2 cũ.</t>
  </si>
  <si>
    <t>Phạm Văn Đồng – Phan Văn Trị</t>
  </si>
  <si>
    <t>CSGT provides three alternate routes around the Phạm Văn Đồng–Phan Văn Trị intersection.</t>
  </si>
  <si>
    <t>Evidence congestion-management need.</t>
  </si>
  <si>
    <t>Not AADT.</t>
  </si>
  <si>
    <t>Nguyễn Oanh – Phan Văn Trị</t>
  </si>
  <si>
    <t>CSGT provides three alternate routes around Nguyễn Oanh–Phan Văn Trị.</t>
  </si>
  <si>
    <t>Evidence traffic-management hotspot.</t>
  </si>
  <si>
    <t>Not traffic volume.</t>
  </si>
  <si>
    <t>Quang Trung – Nguyễn Oanh</t>
  </si>
  <si>
    <t>TRAFFIC_PRESSURE / ENFORCEMENT</t>
  </si>
  <si>
    <t>2026-04</t>
  </si>
  <si>
    <t>https://csgt-congan.hochiminhcity.gov.vn/wps/portal/Home/trang-chu/noi-dung-chi-tiet/tin-giao-thong/hx_32_28426</t>
  </si>
  <si>
    <t>CSGT reported 192 sidewalk-riding violations over two days on Quang Trung and Nguyễn Oanh.</t>
  </si>
  <si>
    <t>Supporting road-space pressure evidence.</t>
  </si>
  <si>
    <t>Enforcement count is not vehicle count.</t>
  </si>
  <si>
    <t>Nguyễn Kiệm – Phan Đăng Lưu – Hoàng Văn Thụ</t>
  </si>
  <si>
    <t>DIVERSION / AIRPORT-CONNECTION</t>
  </si>
  <si>
    <t>2026-09</t>
  </si>
  <si>
    <t>CSGT uses Nguyễn Kiệm – Phan Đăng Lưu – Hoàng Văn Thụ as alternate route between Phạm Văn Đồng and airport.</t>
  </si>
  <si>
    <t>Evidence airport/city connection.</t>
  </si>
  <si>
    <t>Võ Văn Kiệt – Hậu Giang</t>
  </si>
  <si>
    <t>MAJOR_ARTERIAL / ENFORCEMENT</t>
  </si>
  <si>
    <t>2025-07</t>
  </si>
  <si>
    <t>https://csgt-congan.hochiminhcity.gov.vn/wps/portal/Home/trang-chu/noi-dung-chi-tiet/tin-giao-thong/cl_thuchiencaodiemchuyendenongdocon</t>
  </si>
  <si>
    <t>CSGT identifies Hậu Giang and Võ Văn Kiệt among trọng điểm routes for enforcement.</t>
  </si>
  <si>
    <t>Major arterial context.</t>
  </si>
  <si>
    <t>Enforcement ≠ traffic volume.</t>
  </si>
  <si>
    <t>Võ Văn Kiệt</t>
  </si>
  <si>
    <t>DIVERSION / CROSS-CITY CORRIDOR</t>
  </si>
  <si>
    <t>Võ Văn Kiệt used in alternate cross-city routing from Thủ Đức toward Quận 5, Quận 6 and Bình Chánh.</t>
  </si>
  <si>
    <t>Cross-city corridor evidence.</t>
  </si>
  <si>
    <t>Not vehicle count.</t>
  </si>
  <si>
    <t>Mạng lưới đô thị Vũng Tàu</t>
  </si>
  <si>
    <t>REGISTERED_VEHICLES / TRAFFIC_INFRASTRUCTURE</t>
  </si>
  <si>
    <t>2024-06-15</t>
  </si>
  <si>
    <t>UBND TP Vũng Tàu</t>
  </si>
  <si>
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</si>
  <si>
    <t>47,029 cars and 223,969 motorcycles registered; 271 roads / 227 km; transport land around 11% of urban construction land.</t>
  </si>
  <si>
    <t>Numeric transport-context evidence.</t>
  </si>
  <si>
    <t>Registered vehicles ≠ daily traffic volume/AADT.</t>
  </si>
  <si>
    <t>CONGESTION_RISK / GATEWAY</t>
  </si>
  <si>
    <t>2024-09</t>
  </si>
  <si>
    <t>Công an TP Thủ Dầu Một</t>
  </si>
  <si>
    <t>City police warned holiday traffic could cause congestion on Huỳnh Văn Cù / Phú Cường bridge toward HCMC.</t>
  </si>
  <si>
    <t>Official gateway/congestion-risk evidence.</t>
  </si>
  <si>
    <t>Lê Long Vân – Long Tâm</t>
  </si>
  <si>
    <t>ROAD_NETWORK / URBAN_CONNECTIVITY</t>
  </si>
  <si>
    <t>Ban QLDA ĐTXD TP Bà Rịa / Sở TNMT BR-VT</t>
  </si>
  <si>
    <t>https://sotnmt.baria-vungtau.gov.vn/FileUpload/vbpq/Bao%20cao%20DTM%20-%20Duong%20Le%20Long%20Van%20-%20ky.pdf</t>
  </si>
  <si>
    <t>Road extension project provides coordinated roadway, sidewalks and urban infrastructure in Long Toàn–Long Tâm.</t>
  </si>
  <si>
    <t>Official urban-network evidence.</t>
  </si>
  <si>
    <t>Infrastructure evidence only; not observed traffic volume.</t>
  </si>
  <si>
    <t>Official/credible evidence rows</t>
  </si>
  <si>
    <t>Distinct source URLs</t>
  </si>
  <si>
    <t>Distinct corridors/nodes</t>
  </si>
  <si>
    <t>Congestion/flow-management evidence rows</t>
  </si>
  <si>
    <t>Gateway/hub/heavy-vehicle evidence rows</t>
  </si>
  <si>
    <t>Comparable numeric traffic volume available</t>
  </si>
  <si>
    <t>Traffic evidence use</t>
  </si>
  <si>
    <t>Data gap</t>
  </si>
  <si>
    <t>Interpretation guardrail</t>
  </si>
  <si>
    <t>District-level traffic evidence breadth/context only.</t>
  </si>
  <si>
    <t>No common AADT/vehicle-count dataset across all 19 areas.</t>
  </si>
  <si>
    <t>Evidence count is not traffic volume; registered vehicles/infrastructure are context only.</t>
  </si>
  <si>
    <t>YES_CONTEXT_ONLY</t>
  </si>
  <si>
    <t>old_project_in_universe</t>
  </si>
  <si>
    <t>verified_competitor_locations</t>
  </si>
  <si>
    <t>verified_competitor_brands</t>
  </si>
  <si>
    <t>median_nearest_icare_km_at_market_points</t>
  </si>
  <si>
    <t>observed_market_points_beyond_5km_pct</t>
  </si>
  <si>
    <t>population_reference_year</t>
  </si>
  <si>
    <t>official_area_km2</t>
  </si>
  <si>
    <t>official_population</t>
  </si>
  <si>
    <t>official_density</t>
  </si>
  <si>
    <t>official_acting_enterprises_2022</t>
  </si>
  <si>
    <t>official_enterprise_turnover_2022_billion_vnd</t>
  </si>
  <si>
    <t>official_avg_employee_compensation_2022_million_month</t>
  </si>
  <si>
    <t>traffic_evidence_rows</t>
  </si>
  <si>
    <t>traffic_distinct_sources</t>
  </si>
  <si>
    <t>traffic_distinct_corridors_nodes</t>
  </si>
  <si>
    <t>apartment_asking_range_2026_million_m2</t>
  </si>
  <si>
    <t>apartment_midpoint_proxy</t>
  </si>
  <si>
    <t>pp_comparability_flag</t>
  </si>
  <si>
    <t>population_source_quality</t>
  </si>
  <si>
    <t>population_source</t>
  </si>
  <si>
    <t>enterprise_source</t>
  </si>
  <si>
    <t>income_source</t>
  </si>
  <si>
    <t>pp_source</t>
  </si>
  <si>
    <t>data_readiness_note</t>
  </si>
  <si>
    <t>24 - 128.6</t>
  </si>
  <si>
    <t>LOW_COMPARABILITY_MIXED_SUBMARKETS</t>
  </si>
  <si>
    <t>OFFICIAL_HCMC_COMPARABLE</t>
  </si>
  <si>
    <t>https://thongkehochiminh.gso.gov.vn/Niengiam/2023/NIEN%20GIAM%20TPHCM%202023_...</t>
  </si>
  <si>
    <t>https://thongkehochiminh.gso.gov.vn/Niengiam/2023/DOANH%20NGHIEP.pdf</t>
  </si>
  <si>
    <t>https://batdongsan.com.vn/ban-can-ho-chung-cu-thu-duc</t>
  </si>
  <si>
    <t>STRONGER_COMPARABLE_BASE</t>
  </si>
  <si>
    <t>No weighted score. Official business/income metrics are historical comparable...</t>
  </si>
  <si>
    <t>35.2 - 96.5</t>
  </si>
  <si>
    <t>COMPARABLE_WITH_CAUTION</t>
  </si>
  <si>
    <t>https://batdongsan.com.vn/ban-can-ho-chung-cu-tan-binh</t>
  </si>
  <si>
    <t>33 - 131</t>
  </si>
  <si>
    <t>LOW_COMPARABILITY_LUXURY_OUTLIER_RISK</t>
  </si>
  <si>
    <t>https://batdongsan.com.vn/ban-can-ho-chung-cu-tp-ho-chi-minh</t>
  </si>
  <si>
    <t>41 - 102</t>
  </si>
  <si>
    <t>79 - 880</t>
  </si>
  <si>
    <t>https://batdongsan.com.vn/ban-can-ho-chung-cu-quan-1</t>
  </si>
  <si>
    <t>29.3 - 64.6</t>
  </si>
  <si>
    <t>https://batdongsan.com.vn/ban-can-ho-chung-cu-quan-12/p12</t>
  </si>
  <si>
    <t>28 - 93</t>
  </si>
  <si>
    <t>22.2 - 90</t>
  </si>
  <si>
    <t>https://batdongsan.com.vn/ban-can-ho-chung-cu-binh-tan</t>
  </si>
  <si>
    <t>26 - 87.9</t>
  </si>
  <si>
    <t>https://batdongsan.com.vn/ban-can-ho-chung-cu-go-vap</t>
  </si>
  <si>
    <t>40.4 - 171.5</t>
  </si>
  <si>
    <t>https://batdongsan.com.vn/ban-can-ho-chung-cu-quan-3/gia-thuong-luong</t>
  </si>
  <si>
    <t>22 - 77</t>
  </si>
  <si>
    <t>32.6 - 62.1</t>
  </si>
  <si>
    <t>OFFICIAL_LOCAL</t>
  </si>
  <si>
    <t>https://dian.binhduong.gov.vn/upload/105397/20241209/01__BAO_CAO_KHSDD_2025_D...</t>
  </si>
  <si>
    <t>https://batdongsan.com.vn/ban-can-ho-chung-cu-di-an-bd/gia-thuong-luong</t>
  </si>
  <si>
    <t>PARTIAL_EXTERNAL_AREA</t>
  </si>
  <si>
    <t>32 - 96</t>
  </si>
  <si>
    <t>23.2 - 88.3</t>
  </si>
  <si>
    <t>https://batdongsan.com.vn/ban-can-ho-chung-cu-quan-6</t>
  </si>
  <si>
    <t>13.7 - 76.7</t>
  </si>
  <si>
    <t>LOW_SAMPLE_LISTING_RISK</t>
  </si>
  <si>
    <t>OFFICIAL_LOCAL_YEAR_MISMATCH</t>
  </si>
  <si>
    <t>https://thudaumot.binhduong.gov.vn/Portals/0/Images/GPMT%20TH%C3%80NH%20L%E1%...</t>
  </si>
  <si>
    <t>https://batdongsan.com.vn/ban-can-ho-chung-cu-duong-1-163</t>
  </si>
  <si>
    <t>21.8 - 100</t>
  </si>
  <si>
    <t>OFFICIAL_LOCAL_MIXED_YEAR_AREA2019_POP2024</t>
  </si>
  <si>
    <t>https://atlas.baria-vungtau.gov.vn/ThongTinChiTiet.aspx?keymap=K7_1 | officia...</t>
  </si>
  <si>
    <t>https://batdongsan.com.vn/ban-can-ho-chung-cu-vung-tau-vt</t>
  </si>
  <si>
    <t>MISSING</t>
  </si>
  <si>
    <t>MIXED_OFFICIAL_AREA_SECONDARY_POPULATION</t>
  </si>
  <si>
    <t>https://atlas.baria-vungtau.gov.vn/ThongTinChiTiet.aspx?keymap=K7_1 | populat...</t>
  </si>
  <si>
    <t>60.8 - 119.4</t>
  </si>
  <si>
    <t>52.5 - 168.7</t>
  </si>
  <si>
    <t>LOW_COMPARABILITY_PROJECT_MIX_RISK</t>
  </si>
  <si>
    <t>https://batdongsan.com.vn/ban-can-ho-chung-cu-quan-5/p5</t>
  </si>
  <si>
    <t>Mục</t>
  </si>
  <si>
    <t>Quy tắc</t>
  </si>
  <si>
    <t>Universe</t>
  </si>
  <si>
    <t>19 district_old / market areas xuất hiện trong project Top Place for repair (65 verified locations). Không tự thêm khu ngoài observed universe.</t>
  </si>
  <si>
    <t>Market evidence</t>
  </si>
  <si>
    <t>Verified competitor locations + competitor brands dùng để phản ánh physical market footprint; không gọi là demand thật.</t>
  </si>
  <si>
    <t>iCare coverage</t>
  </si>
  <si>
    <t>Distance tại verified market points tới iCare gần nhất; đây là observed white-space evidence, không phải catchment toàn quận.</t>
  </si>
  <si>
    <t>Ưu tiên CSGT/Sở Xây dựng. Evidence về congestion/gateway/diversion được giữ riêng; không quy evidence count thành vehicle volume.</t>
  </si>
  <si>
    <t>Population</t>
  </si>
  <si>
    <t>15 legacy HCMC areas dùng chung Niên giám 2023. External areas dùng local official source nếu có; khác năm phải gắn quality flag.</t>
  </si>
  <si>
    <t>Economic size</t>
  </si>
  <si>
    <t>Acting enterprises + enterprise turnover 2022 từ cùng Niên giám cho legacy HCMC giúp comparability tốt hơn snapshot business proxy.</t>
  </si>
  <si>
    <t>Purchasing power</t>
  </si>
  <si>
    <t>Employee compensation 2022 là income reference trong doanh nghiệp. Apartment asking-price chỉ là supporting PP proxy và phải giữ comparability flag.</t>
  </si>
  <si>
    <t>Selection</t>
  </si>
  <si>
    <t>Sau khi input đủ: dùng raw metrics + rank + Pareto/dominance + source-quality/data-gap flags; không weighted score chủ quan.</t>
  </si>
  <si>
    <t>context_group</t>
  </si>
  <si>
    <t>asset_or_node</t>
  </si>
  <si>
    <t>metric_or_signal</t>
  </si>
  <si>
    <t>value_or_evidence</t>
  </si>
  <si>
    <t>year</t>
  </si>
  <si>
    <t>source_type</t>
  </si>
  <si>
    <t>use_in_screening</t>
  </si>
  <si>
    <t>guardrail</t>
  </si>
  <si>
    <t>Technology / employment</t>
  </si>
  <si>
    <t>Quang Trung Software City</t>
  </si>
  <si>
    <t>Scale / employment ecosystem</t>
  </si>
  <si>
    <t>430,000 m²; 157 ICT companies; about 20,055 people studying/working in 2018 profile</t>
  </si>
  <si>
    <t>2018</t>
  </si>
  <si>
    <t>https://www.qtsc.com.vn/uploads/files/2018/07/11/01.-QTSC-COMPANY-PROFILE.pdf</t>
  </si>
  <si>
    <t>First-party QTSC</t>
  </si>
  <si>
    <t>Strong employment / computer-user anchor</t>
  </si>
  <si>
    <t>Historical profile; do not treat as current 2026 headcount.</t>
  </si>
  <si>
    <t>Technology / education</t>
  </si>
  <si>
    <t>Current member/building ecosystem</t>
  </si>
  <si>
    <t>Current QTSC directory shows multiple ICT firms, universities/training and office buildings</t>
  </si>
  <si>
    <t>https://www.qtsc.com.vn/en/business</t>
  </si>
  <si>
    <t>Current existence / cluster evidence</t>
  </si>
  <si>
    <t>Directory presence ≠ employment count.</t>
  </si>
  <si>
    <t>High-tech employment</t>
  </si>
  <si>
    <t>Saigon Hi-Tech Park</t>
  </si>
  <si>
    <t>Company ecosystem</t>
  </si>
  <si>
    <t>Official SHTP source lists Samsung HCMC CE Complex, Nidec, Nipro, Sanofi and other high-tech manufacturers</t>
  </si>
  <si>
    <t>https://shtp.hochiminhcity.gov.vn/portals/0/sotaycongnghiephotro.pdf</t>
  </si>
  <si>
    <t>Official SHTP</t>
  </si>
  <si>
    <t>High-skill / device-intensive employment anchor</t>
  </si>
  <si>
    <t>Company presence ≠ customer demand.</t>
  </si>
  <si>
    <t>Labor market signal</t>
  </si>
  <si>
    <t>SHTP reports 2026 recruitment, worker housing and traffic congestion as current business concerns</t>
  </si>
  <si>
    <t>https://shtp.hochiminhcity.gov.vn/en/shtp-steps-up-dialogue-with-businesses-to-address-key-challenges-961.htm</t>
  </si>
  <si>
    <t>Current labor / traffic context</t>
  </si>
  <si>
    <t>Qualitative signal, not employee count.</t>
  </si>
  <si>
    <t>Phạm Văn Đồng–Phan Văn Trị / Nguyễn Oanh–Phan Văn Trị</t>
  </si>
  <si>
    <t>Traffic-management nodes</t>
  </si>
  <si>
    <t>CSGT publishes multiple alternate routes around both intersections</t>
  </si>
  <si>
    <t>Official CSGT</t>
  </si>
  <si>
    <t>Traffic-context strengthening</t>
  </si>
  <si>
    <t>Quang Trung / Nguyễn Oanh</t>
  </si>
  <si>
    <t>Road-space pressure</t>
  </si>
  <si>
    <t>192 sidewalk-riding violations recorded over two days in April 2026</t>
  </si>
  <si>
    <t>Supporting traffic pressure evidence</t>
  </si>
  <si>
    <t>Enforcement count ≠ traffic volume.</t>
  </si>
  <si>
    <t>Population / urban</t>
  </si>
  <si>
    <t>TP Dĩ An cũ</t>
  </si>
  <si>
    <t>Population benchmark</t>
  </si>
  <si>
    <t>506,481 people; 60.05 km²; 8,434 people/km²</t>
  </si>
  <si>
    <t>https://dian.binhduong.gov.vn/upload/105397/20241209/01__BAO_CAO_KHSDD_2025_Di_An_ThamDinh_9960f.pdf</t>
  </si>
  <si>
    <t>Official local government</t>
  </si>
  <si>
    <t>Comparable population context</t>
  </si>
  <si>
    <t>Legacy city boundary.</t>
  </si>
  <si>
    <t>TP Thủ Dầu Một cũ</t>
  </si>
  <si>
    <t>336,705 people; 118.91 km²; 2,832 people/km²</t>
  </si>
  <si>
    <t>2021</t>
  </si>
  <si>
    <t>https://thudaumot.binhduong.gov.vn/Portals/0/Images/GPMT%20TH%C3%80NH%20L%E1%BB%A2I_signed.pdf</t>
  </si>
  <si>
    <t>Population context</t>
  </si>
  <si>
    <t>2021 actual; year mismatch.</t>
  </si>
  <si>
    <t>365,500 people</t>
  </si>
  <si>
    <t>https://vungtau.baria-vungtau.gov.vn/vtrss/-/asset_publisher/ylT2hK5dQZZi/content/n%25C3%25A2ng-cao-ch%25E1%25BA%25A5t-l%25C6%25B0%25E1%25BB%A3ng-d%25C3%25A2n-s%25E1%25BB%2591-%25C4%2591%25E1%25BB%2583-%C4%91%E1%BA%A5t-n%C6%B0%E1%BB%9Bc-ph%E1%BB%93n-vinh-gia-%C4%91%C3%ACnh-h%E1%BA%A1nh-ph%C3%BAc</t>
  </si>
  <si>
    <t>2024 actual; year mismatch.</t>
  </si>
  <si>
    <t>108,701 people in 2023 secondary compilation</t>
  </si>
  <si>
    <t>https://vifiin.com/thong-ke-dan-so-ba-ria-vung-tau/</t>
  </si>
  <si>
    <t>Secondary compilation</t>
  </si>
  <si>
    <t>Temporary context only</t>
  </si>
  <si>
    <t>Must be replaced with official district-level source before final ranking.</t>
  </si>
  <si>
    <t>52.5–168.7 triệu đồng/m²; 155 listings</t>
  </si>
  <si>
    <t>Market listing platform</t>
  </si>
  <si>
    <t>Supporting PP proxy</t>
  </si>
  <si>
    <t>Project mix can distort midpoint.</t>
  </si>
  <si>
    <t>29.3–64.6 triệu đồng/m²; 241 listings</t>
  </si>
  <si>
    <t>Not income.</t>
  </si>
  <si>
    <t>22.2–90 triệu đồng/m²; 486 listings</t>
  </si>
  <si>
    <t>Transport / motorization</t>
  </si>
  <si>
    <t>Citywide registered vehicles</t>
  </si>
  <si>
    <t>Vehicle stock</t>
  </si>
  <si>
    <t>47,029 cars + 223,969 motorcycles registered as of 15/06/2024</t>
  </si>
  <si>
    <t>Motorization / traffic context</t>
  </si>
  <si>
    <t>Registered vehicle stock ≠ AADT.</t>
  </si>
  <si>
    <t>Tourism / service economy</t>
  </si>
  <si>
    <t>City tourism market</t>
  </si>
  <si>
    <t>Visitors + tourism revenue</t>
  </si>
  <si>
    <t>&gt;7.2 million visitors in 2024; tourism/food-service revenue about 9,900 billion VND</t>
  </si>
  <si>
    <t>https://vungtau.baria-vungtau.gov.vn/tin-tuc-noi-bat/-/asset_publisher/Ov4gE8i4hcGW/content/v%25C5%25A9ng-t%25C3%25A0u-t%25C4%2583ng-t%25E1%25BB%2591c-ph%25C3%25A1t-tri%25E1%25BB%2583n-du-l%25E1%25BB%258Bch-h%25C6%25B0%25E1%25BB%259Bng-t%25E1%25BB%259Bi-trung-t%25C3%25A2m-du-l%25E1%25BB%258Bch-qu%25E1%25BB%2591c-gia-v%25C3%25A0-qu%25E1%25BB%2591c-t%25E1%25BA%25BF.</t>
  </si>
  <si>
    <t>Service-demand / transient population context</t>
  </si>
  <si>
    <t>Tourists are not equivalent to repair-service customers.</t>
  </si>
  <si>
    <t>Labor market</t>
  </si>
  <si>
    <t>City workforce</t>
  </si>
  <si>
    <t>Worker share</t>
  </si>
  <si>
    <t>Workers equal about 19% of population and 29% of social labor force by end-2024</t>
  </si>
  <si>
    <t>https://vungtau.baria-vungtau.gov.vn/cong-khai-thong-tin-pho-bien/-/asset_publisher/tPYLPkBxl5fG/content/th%25C3%25A1ng-c%25C3%25B4ng-nh%25C3%25A2n-n%25C4%2583m-2025-c%25C3%25B4ng-nh%25C3%25A2n-ti%25C3%25AAn-phong-b%25C6%25B0%25E1%25BB%259Bc-v%25C3%25A0o-k%25E1%25BB%25B7-nguy%25C3%25AAn-m%25E1%25BB%259Bi</t>
  </si>
  <si>
    <t>Employment-base context</t>
  </si>
  <si>
    <t>Share does not directly estimate computer ownership.</t>
  </si>
  <si>
    <t>Digital adoption</t>
  </si>
  <si>
    <t>City digital economy</t>
  </si>
  <si>
    <t>SME digital adoption</t>
  </si>
  <si>
    <t>&gt;90% of SMEs accessed modern digital platforms; 7 cashless streets by end-2024</t>
  </si>
  <si>
    <t>https://vungtau.baria-vungtau.gov.vn/tin-tuc-noi-bat/-/asset_publisher/Ov4gE8i4hcGW/content/v%25C5%25A9ng-t%25C3%25A0u-ghi-d%25E1%25BA%25A5u-%25E1%25BA%25A5n-%25C4%2591%25E1%25BB%2599t-ph%25C3%25A1-v%25E1%25BB%2581-chuy%25E1%25BB%2583n-%25C4%2591%25E1%25BB%2595i-s%25E1%25BB%2591-v%25C6%25B0%25C6%25A1n-l%25C3%25AAn-d%25E1%25BA%25ABn-%25C4%2591%25E1%25BA%25A7u-to%25C3%25A0n-t%25E1%25BB%2589nh-n%25C4%2583m-2024.</t>
  </si>
  <si>
    <t>Digital-intensity context</t>
  </si>
  <si>
    <t>Digital platform adoption ≠ laptop-repair demand.</t>
  </si>
  <si>
    <t>Airport-connection alternative route</t>
  </si>
  <si>
    <t>CSGT uses these roads as alternate connection between Phạm Văn Đồng and airport</t>
  </si>
  <si>
    <t>Major arterial / enforcement context</t>
  </si>
  <si>
    <t>CSGT lists Hậu Giang and Võ Văn Kiệt among重点 routes for enforcement</t>
  </si>
  <si>
    <t>Enforcement ≠ volume.</t>
  </si>
  <si>
    <t>32.6–62.1 triệu đồng/m²; 20 listings</t>
  </si>
  <si>
    <t>Not income; listing-based.</t>
  </si>
  <si>
    <t>13.7–76.7 triệu đồng/m²; page shows only 1 listing in this filtered slice</t>
  </si>
  <si>
    <t>Weak supporting PP proxy</t>
  </si>
  <si>
    <t>Very low sample; do not rank strongly.</t>
  </si>
  <si>
    <t>21.8–100 triệu đồng/m²; 260 listings</t>
  </si>
  <si>
    <t>Tourism/second-home mix may distort household purchasing power.</t>
  </si>
  <si>
    <t>23.2–88.3 triệu đồng/m²; 218 listings</t>
  </si>
  <si>
    <t>competitor_locations</t>
  </si>
  <si>
    <t>competitor_brands</t>
  </si>
  <si>
    <t>icare_locations</t>
  </si>
  <si>
    <t>median_nearest_icare_km</t>
  </si>
  <si>
    <t>uncovered_share_5km_pct</t>
  </si>
  <si>
    <t>market_data_available</t>
  </si>
  <si>
    <t>coverage_data_available</t>
  </si>
  <si>
    <t>traffic_data_available</t>
  </si>
  <si>
    <t>economic_data_available</t>
  </si>
  <si>
    <t>pp_data_available</t>
  </si>
  <si>
    <t>screening_readiness</t>
  </si>
  <si>
    <t>data_gap_note</t>
  </si>
  <si>
    <t>selection_guardrail</t>
  </si>
  <si>
    <t>source_research_sheet</t>
  </si>
  <si>
    <t>READY_FOR_COMPARATIVE_SCREENING</t>
  </si>
  <si>
    <t>official traffic evidence not found yet</t>
  </si>
  <si>
    <t>No weighted score. Use raw metrics + rank/Pareto + source quality. Missing ≠ zero; traffic evidence count ≠ volume; PP proxy ≠ income.</t>
  </si>
  <si>
    <t>11_Old_Project_Universe_Research</t>
  </si>
  <si>
    <t>OFFICIAL_PLANNING_CONTENT_SECONDARY_HOST</t>
  </si>
  <si>
    <t>YES_WITH_SOURCE_HOST_GUARDRAIL</t>
  </si>
  <si>
    <t>READY_WITH_CROSS_PROVINCE_COMPARABILITY_GUARDRAIL</t>
  </si>
  <si>
    <t>Comparable 2022 enterprise metrics filled from Binh Duong Statistical Yearbook 2023 copy hosted on Scribd; verify official-host copy/definition match before final score lock.</t>
  </si>
  <si>
    <t>No critical gap for first comparative pass.</t>
  </si>
  <si>
    <t>2023 population/density and 2022 enterprise metrics filled from Binh Duong planning/yearbook content; official-host source copy should be verified before final score lock.</t>
  </si>
  <si>
    <t>PARTIAL</t>
  </si>
  <si>
    <t>economic metric not comparable with HCMC series; population comparability caveat</t>
  </si>
  <si>
    <t>SECONDARY_AGGREGATE_NEEDS_OFFICIAL_REPLACEMENT</t>
  </si>
  <si>
    <t>comparable PP proxy not found; economic metric not comparable with HCMC series; population comparability caveat</t>
  </si>
  <si>
    <t>DIRECT_ICARE_PRESENT</t>
  </si>
  <si>
    <t>Ưu tiên</t>
  </si>
  <si>
    <t>Phạm vi</t>
  </si>
  <si>
    <t>Thông tin còn thiếu</t>
  </si>
  <si>
    <t>Vì sao cần</t>
  </si>
  <si>
    <t>Cách xử lý</t>
  </si>
  <si>
    <t>Trạng thái</t>
  </si>
  <si>
    <t>Thủ Dầu Một / Vũng Tàu / Bà Rịa</t>
  </si>
  <si>
    <t>Comparable enterprise/income metrics cùng định nghĩa</t>
  </si>
  <si>
    <t>Các khu external chưa có cùng bộ acting-enterprises/turnover/employee-compensation như legacy HCMC.</t>
  </si>
  <si>
    <t>Ưu tiên Niên giám Bình Dương và Bà Rịa–Vũng Tàu; nếu chưa truy được thì giữ missing.</t>
  </si>
  <si>
    <t>Cần research tiếp</t>
  </si>
  <si>
    <t>Official district-level population source</t>
  </si>
  <si>
    <t>Population 2023 hiện vẫn là secondary compilation.</t>
  </si>
  <si>
    <t>Thay bằng Niên giám/UBND/Cục Thống kê khi tìm được.</t>
  </si>
  <si>
    <t>Cần thay nguồn</t>
  </si>
  <si>
    <t>Thủ Dầu Một / Bà Rịa</t>
  </si>
  <si>
    <t>Traffic evidence</t>
  </si>
  <si>
    <t>Không được hiểu 0 traffic evidence là traffic thấp.</t>
  </si>
  <si>
    <t>Tiếp tục tìm nguồn CSGT/Sở GTVT/UBND địa phương có phân luồng, vehicle stock hoặc congestion.</t>
  </si>
  <si>
    <t>PP proxy sample quality</t>
  </si>
  <si>
    <t>Range hiện lấy từ trang có sample rất thấp nên không đủ mạnh để rank.</t>
  </si>
  <si>
    <t>Giữ LOW_SAMPLE_LISTING_RISK; tìm thêm nguồn/listing breadth tốt hơn.</t>
  </si>
  <si>
    <t>Cần cải thiện</t>
  </si>
  <si>
    <t>Toàn universe</t>
  </si>
  <si>
    <t>Comparable numeric traffic volume</t>
  </si>
  <si>
    <t>Vũng Tàu có registered vehicle stock nhưng toàn universe chưa có AADT/vehicle-count cùng chuẩn.</t>
  </si>
  <si>
    <t>Không dùng registered vehicle stock để so trực tiếp với evidence count các khu khác.</t>
  </si>
  <si>
    <t>Thiếu dataset chung</t>
  </si>
  <si>
    <t>Sau comparative screening</t>
  </si>
  <si>
    <t>Top 3 → 5 corridors → demographic/rent/site</t>
  </si>
  <si>
    <t>Downstream chỉ chạy sau khi Top 3 sinh ra từ universe cũ.</t>
  </si>
  <si>
    <t>Rebuild road/rent/site sheets sau khi chốt Top 3.</t>
  </si>
  <si>
    <t>Chưa làm</t>
  </si>
  <si>
    <t>coverage_status</t>
  </si>
  <si>
    <t>coverage_reference</t>
  </si>
  <si>
    <t>population_value</t>
  </si>
  <si>
    <t>population_quality</t>
  </si>
  <si>
    <t>density_value_or_status</t>
  </si>
  <si>
    <t>traffic_evidence_status</t>
  </si>
  <si>
    <t>economic_comparability_status</t>
  </si>
  <si>
    <t>income_reference_status</t>
  </si>
  <si>
    <t>pp_proxy_status</t>
  </si>
  <si>
    <t>pp_midpoint_or_status</t>
  </si>
  <si>
    <t>screening_core_complete</t>
  </si>
  <si>
    <t>comparison_rule</t>
  </si>
  <si>
    <t>Direct verified iCare location in district_old</t>
  </si>
  <si>
    <t>OFFICIAL_EVIDENCE_FOUND</t>
  </si>
  <si>
    <t>COMPARABLE_OFFICIAL_HCMC</t>
  </si>
  <si>
    <t>Rank/Pareto only on like-for-like numeric metrics; status fields are guardrails, not scores.</t>
  </si>
  <si>
    <t>OBSERVED_GAP_GT5KM</t>
  </si>
  <si>
    <t>Median nearest iCare at observed competitor points = 5.26 km</t>
  </si>
  <si>
    <t>OBSERVED_GAP_LE5KM</t>
  </si>
  <si>
    <t>Median nearest iCare at observed competitor points = 1.26 km</t>
  </si>
  <si>
    <t>Median nearest iCare at observed competitor points = 2.29 km</t>
  </si>
  <si>
    <t>Median nearest iCare at observed competitor points = 8.77 km</t>
  </si>
  <si>
    <t>Median nearest iCare at observed competitor points = 4.66 km</t>
  </si>
  <si>
    <t>Median nearest iCare at observed competitor points = 7.28 km</t>
  </si>
  <si>
    <t>Median nearest iCare at observed competitor points = 3.89 km</t>
  </si>
  <si>
    <t>Median nearest iCare at observed competitor points = 2.02 km</t>
  </si>
  <si>
    <t>Median nearest iCare at observed competitor points = 3.64 km</t>
  </si>
  <si>
    <t>Median nearest iCare at observed competitor points = 5.64 km</t>
  </si>
  <si>
    <t>NOT_COMPARABLE_WITH_HCMC_SERIES</t>
  </si>
  <si>
    <t>Median nearest iCare at observed competitor points = 2.53 km</t>
  </si>
  <si>
    <t>Median nearest iCare at observed competitor points = 5.56 km</t>
  </si>
  <si>
    <t>Median nearest iCare at observed competitor points = 18.52 km</t>
  </si>
  <si>
    <t>Median nearest iCare at observed competitor points = 63.06 km</t>
  </si>
  <si>
    <t>Median nearest iCare at observed competitor points = 59.34 km</t>
  </si>
  <si>
    <t>NO_COMPARABLE_APARTMENT_RANGE_FOUND</t>
  </si>
  <si>
    <t>NOT_AVAILABLE_AS_COMPARABLE_PROXY</t>
  </si>
  <si>
    <t>Median nearest iCare at observed competitor points = 1.22 km</t>
  </si>
  <si>
    <t>district</t>
  </si>
  <si>
    <t>corridor</t>
  </si>
  <si>
    <t>network_role</t>
  </si>
  <si>
    <t>why_selected_for_deep_dive</t>
  </si>
  <si>
    <t>official_evidence_rows</t>
  </si>
  <si>
    <t>distinct_source_urls</t>
  </si>
  <si>
    <t>evidence_categories</t>
  </si>
  <si>
    <t>numeric_traffic_volume_available</t>
  </si>
  <si>
    <t>source_quality_mix</t>
  </si>
  <si>
    <t>selection_status</t>
  </si>
  <si>
    <t>Xô Viết Nghệ Tĩnh</t>
  </si>
  <si>
    <t>CORE_ARTERIAL / CONGESTION / CENTER-TO-GATEWAY</t>
  </si>
  <si>
    <t>Lặp lại trong nhiều phương án phân luồng; nối trung tâm Bình Thạnh với QL13/Bình Triệu.</t>
  </si>
  <si>
    <t>AREA_WIDE_TRAFFIC_RESTRICTION | CONGESTION / DIVERSION | GATEWAY / BRIDGE ACCESS</t>
  </si>
  <si>
    <t>OFFICIAL_CSGT | OFFICIAL_SOXD</t>
  </si>
  <si>
    <t>SELECTED_5_FOR_DEEP_DIVE</t>
  </si>
  <si>
    <t>Không xếp hạng bằng evidence-count. 5 tuyến/quận được chọn để deep-dive vì có official evidence + vai trò mạng khác nhau; cần tiếp tục tìm numeric traffic/rent/demographic ở bước sau.</t>
  </si>
  <si>
    <t>Quốc lộ 13</t>
  </si>
  <si>
    <t>NORTHEAST_GATEWAY / TRANSPORT_HUB / CAPACITY_CONSTRAINT</t>
  </si>
  <si>
    <t>Cửa ngõ Đông Bắc, liên quan Bến xe Miền Đông cũ và dự án mở rộng quy mô lớn.</t>
  </si>
  <si>
    <t>CAPACITY_CONSTRAINT / EXPANSION | CONGESTION / TRANSPORT_HUB | MAJOR_INFRASTRUCTURE_INVESTMENT</t>
  </si>
  <si>
    <t>OFFICIAL_CSGT | OFFICIAL_HCMC</t>
  </si>
  <si>
    <t>Đinh Bộ Lĩnh</t>
  </si>
  <si>
    <t>TRANSPORT_HUB_FEEDER / HOTSPOT</t>
  </si>
  <si>
    <t>Giao lộ Đinh Bộ Lĩnh–Bạch Đằng có nhiều lộ trình thay thế; feeder QL13/Nguyễn Xí.</t>
  </si>
  <si>
    <t>CONGESTION / DIVERSION | TRANSPORT_HUB / DIVERSION</t>
  </si>
  <si>
    <t>OFFICIAL_CSGT</t>
  </si>
  <si>
    <t>Nguyễn Xí</t>
  </si>
  <si>
    <t>CROSS_CONNECTOR / GATEWAY_DISTRIBUTOR</t>
  </si>
  <si>
    <t>Trục nối Đinh Bộ Lĩnh–Phạm Văn Đồng/QL13, xuất hiện lặp lại trong phương án cầu Bình Triệu.</t>
  </si>
  <si>
    <t>AREA_WIDE_TRAFFIC_RESTRICTION | NETWORK_DIVERSION</t>
  </si>
  <si>
    <t>Nơ Trang Long</t>
  </si>
  <si>
    <t>CROSS_DISTRICT / AIRPORT_LINK / VEHICLE_ANCHOR</t>
  </si>
  <si>
    <t>Nằm trên lộ trình Bình Lợi–sân bay/trung tâm và có điểm đăng ký phương tiện.</t>
  </si>
  <si>
    <t>NETWORK_DIVERSION / AIRPORT_LINK | VEHICLE_ADMIN_ANCHOR</t>
  </si>
  <si>
    <t>Kinh Dương Vương</t>
  </si>
  <si>
    <t>WESTERN_TRANSPORT_HUB / CONGESTION / SAFETY</t>
  </si>
  <si>
    <t>Trục Bến xe Miền Tây, có vòng tránh riêng, từng là điểm đen TNGT và có đầu tư nút giao.</t>
  </si>
  <si>
    <t>MAJOR_NODE_INVESTMENT | SAFETY_BLACKSPOT | TRANSPORT_HUB / CONGESTION</t>
  </si>
  <si>
    <t>Quốc lộ 1 / Lê Đức Anh</t>
  </si>
  <si>
    <t>WESTERN_GATEWAY / REGIONAL_ARTERIAL</t>
  </si>
  <si>
    <t>Trục cửa ngõ dài, lộ giới lớn, đang chuẩn bị nâng cấp/mở rộng; kết nối An Sương–An Lạc.</t>
  </si>
  <si>
    <t>GATEWAY / CONGESTION | MAJOR_INFRASTRUCTURE_INVESTMENT | ROAD_NAMING / SCALE</t>
  </si>
  <si>
    <t>Tên Lửa</t>
  </si>
  <si>
    <t>BUS_HUB_DISTRIBUTOR / DIVERSION</t>
  </si>
  <si>
    <t>Đường phân phối trực tiếp quanh Bến xe Miền Tây, lặp lại trong phương án phân luồng.</t>
  </si>
  <si>
    <t>HOLIDAY_DIVERSION | TRANSPORT_HUB / DIVERSION</t>
  </si>
  <si>
    <t>Tân Kỳ Tân Quý</t>
  </si>
  <si>
    <t>WEST-NORTHWEST_CONNECTOR</t>
  </si>
  <si>
    <t>Liên kết Trường Chinh–Lê Trọng Tấn–Nguyễn Thị Tú; có vai trò đường chính theo quy hoạch.</t>
  </si>
  <si>
    <t>NETWORK_CONNECTOR | PLANNED_MAJOR_ROAD</t>
  </si>
  <si>
    <t>HEAVY_VEHICLE / REGIONAL_DIVERSION</t>
  </si>
  <si>
    <t>Có quản lý riêng xe tải/xe khách lớn và là hướng thay thế khi QL1 phía Tây ùn tắc.</t>
  </si>
  <si>
    <t>HEAVY_VEHICLE_TRAFFIC_MANAGEMENT | REGIONAL_DIVERSION</t>
  </si>
  <si>
    <t>Đỗ Mười (Quốc lộ 1 cũ)</t>
  </si>
  <si>
    <t>PRIMARY_GATEWAY / CONGESTION / LARGE_SCALE</t>
  </si>
  <si>
    <t>Trục QL1 cũ qua Quận 12, lộ giới 120 m, có phân luồng khi ùn tắc và vai trò cửa ngõ.</t>
  </si>
  <si>
    <t>CURRENT_CONSTRUCTION_DIVERSION | GATEWAY / CONGESTION | ROAD_SCALE / CURRENT_NAMING</t>
  </si>
  <si>
    <t>Lê Văn Khương</t>
  </si>
  <si>
    <t>DEVELOPMENT_AXIS / DIVERSION</t>
  </si>
  <si>
    <t>Một trong hai tuyến động lực của Quận 12; lặp lại trong các phương án vòng tránh QL1.</t>
  </si>
  <si>
    <t>CURRENT_DIVERSION | DIVERSION / CROSS_DISTRICT_CONNECTOR | PLANNING / DEVELOPMENT_AXIS</t>
  </si>
  <si>
    <t>OFFICIAL_CSGT | OFFICIAL_PLANNING</t>
  </si>
  <si>
    <t>Nguyễn Ảnh Thủ</t>
  </si>
  <si>
    <t>DEVELOPMENT_AXIS / DISTRIBUTOR / VEHICLE_ADMIN</t>
  </si>
  <si>
    <t>Tuyến động lực, nằm trong chuỗi phân luồng và có các điểm dịch vụ hành chính phương tiện.</t>
  </si>
  <si>
    <t>DIVERSION / NETWORK_ROLE | FLOOD / TRAFFIC_DISRUPTION | PLANNING / DEVELOPMENT_AXIS | VEHICLE_ADMIN_ANCHOR</t>
  </si>
  <si>
    <t>Tô Ký</t>
  </si>
  <si>
    <t>CROSS_DISTRICT_DISTRIBUTOR / URBAN_AXIS</t>
  </si>
  <si>
    <t>Kết nối chuỗi vòng tránh QL1–QL22 và là trục đô thị quan trọng.</t>
  </si>
  <si>
    <t>DIVERSION / CROSS_DISTRICT_CONNECTOR | URBAN_STRUCTURE / SPECIAL_AREA</t>
  </si>
  <si>
    <t>Hà Huy Giáp</t>
  </si>
  <si>
    <t>NORTHEAST_URBAN_CORRIDOR / STRUCTURAL_AXIS</t>
  </si>
  <si>
    <t>Trục ranh/kết nối quan trọng khu Thạnh Xuân–Thạnh Lộc; evidence traffic trực tiếp yếu hơn 4 tuyến còn lại.</t>
  </si>
  <si>
    <t>CITY_SPECIAL_AREA | URBAN_STRUCTURE / MAJOR_CORRIDOR</t>
  </si>
  <si>
    <t>OFFICIAL_PLANNING</t>
  </si>
  <si>
    <t>current_name_note</t>
  </si>
  <si>
    <t>evidence_category</t>
  </si>
  <si>
    <t>evidence_date</t>
  </si>
  <si>
    <t>source_agency</t>
  </si>
  <si>
    <t>evidence_summary</t>
  </si>
  <si>
    <t>what_it_supports</t>
  </si>
  <si>
    <t>numeric_traffic_available</t>
  </si>
  <si>
    <t>source_quality</t>
  </si>
  <si>
    <t>Giữ tên hiện hành</t>
  </si>
  <si>
    <t>CSGT công bố nhiều lộ trình thay thế riêng cho đoạn Xô Viết Nghệ Tĩnh từ Bạch Đằng đến ngã 5 Đài Liệt sĩ.</t>
  </si>
  <si>
    <t>Repeated official traffic-management evidence on a core arterial.</t>
  </si>
  <si>
    <t>GATEWAY / BRIDGE ACCESS</t>
  </si>
  <si>
    <t>Tuyến được dùng trong lộ trình thay thế khi tổ chức giao thông cầu Bình Triệu 1-2.</t>
  </si>
  <si>
    <t>Connects central Bình Thạnh to northeast gateway.</t>
  </si>
  <si>
    <t>Lộ trình thay thế ≠ lưu lượng trung bình.</t>
  </si>
  <si>
    <t>AREA_WIDE_TRAFFIC_RESTRICTION</t>
  </si>
  <si>
    <t>2025-10-13</t>
  </si>
  <si>
    <t>Sở Xây dựng TP.HCM</t>
  </si>
  <si>
    <t>Sở Xây dựng yêu cầu hạn chế lưu thông trên Xô Viết Nghệ Tĩnh cùng nhiều trục Bình Thạnh để hạn chế ùn tắc.</t>
  </si>
  <si>
    <t>Confirms corridor is part of a sensitive high-traffic network.</t>
  </si>
  <si>
    <t>OFFICIAL_SOXD</t>
  </si>
  <si>
    <t>Đoạn cửa ngõ Đông Bắc; hiện thuộc hành lang nâng cấp</t>
  </si>
  <si>
    <t>2023-2026</t>
  </si>
  <si>
    <t>QL13 và Đinh Bộ Lĩnh là trục vòng tránh khu Bến xe Miền Đông cũ.</t>
  </si>
  <si>
    <t>Transport-hub and northeast gateway role.</t>
  </si>
  <si>
    <t>Không phải volume.</t>
  </si>
  <si>
    <t>Đoạn cầu Bình Triệu đến ranh Bình Dương cũ</t>
  </si>
  <si>
    <t>MAJOR_INFRASTRUCTURE_INVESTMENT</t>
  </si>
  <si>
    <t>2025-2027</t>
  </si>
  <si>
    <t>UBND/HĐND TP.HCM</t>
  </si>
  <si>
    <t>https://www.congbao.hochiminhcity.gov.vn/tin-tuc-tong-hop/uy-ban-nhan-dan-thanh-pho-ho-chi-minh-ban-hanh-quyet-%C4%91inh-so-1230-q%C4%91-ubnd-ve-giao-nhiem-vu-chuan-bi-du-an-chu-%C4%91au-tu-cac-du-an-thanh-phan-thuoc-du-an-nang-cap-mo-rong-quoc-lo-13</t>
  </si>
  <si>
    <t>TP.HCM chuẩn bị dự án nâng cấp, mở rộng QL13 từ cầu Bình Triệu đến ranh Bình Dương.</t>
  </si>
  <si>
    <t>Structural importance of the corridor.</t>
  </si>
  <si>
    <t>OFFICIAL_HCMC</t>
  </si>
  <si>
    <t>Investment scale ≠ current traffic count.</t>
  </si>
  <si>
    <t>Đoạn cầu Bình Triệu đến cầu Vĩnh Bình</t>
  </si>
  <si>
    <t>CAPACITY_CONSTRAINT / EXPANSION</t>
  </si>
  <si>
    <t>2026-05-15</t>
  </si>
  <si>
    <t>HĐND TP.HCM</t>
  </si>
  <si>
    <t>https://hdnd.hochiminhcity.gov.vn/tin-tuc/ban-do-thi/viec-nang-cap-mo-rong-quoc-lo-13-vo-cung-cap-thiet</t>
  </si>
  <si>
    <t>Nguồn chính thức mô tả hạ tầng hiện tại quá tải và dự án mở rộng 10-14 làn, rộng 60m, dài khoảng 6 km.</t>
  </si>
  <si>
    <t>Strong official evidence of capacity pressure.</t>
  </si>
  <si>
    <t>Mô tả quá tải, không phải AADT.</t>
  </si>
  <si>
    <t>Giao lộ Đinh Bộ Lĩnh - Bạch Đằng có 3 lộ trình thay thế chính thức.</t>
  </si>
  <si>
    <t>Traffic-management hotspot and feeder to QL13/Nguyễn Xí.</t>
  </si>
  <si>
    <t>TRANSPORT_HUB / DIVERSION</t>
  </si>
  <si>
    <t>Đinh Bộ Lĩnh nằm trong lộ trình vòng tránh Bến xe Miền Đông cũ.</t>
  </si>
  <si>
    <t>Transport-hub feeder role.</t>
  </si>
  <si>
    <t>NETWORK_DIVERSION</t>
  </si>
  <si>
    <t>2025-2026</t>
  </si>
  <si>
    <t>Nguyễn Xí được dùng nối Đinh Bộ Lĩnh với Phạm Văn Đồng/QL13 trong phương án cầu Bình Triệu.</t>
  </si>
  <si>
    <t>Key cross-connector in northeast Bình Thạnh network.</t>
  </si>
  <si>
    <t>Nguyễn Xí nằm trong nhóm tuyến được khuyến nghị hạn chế lưu thông để giảm ùn tắc khu Bình Thạnh.</t>
  </si>
  <si>
    <t>Supports recurring traffic sensitivity.</t>
  </si>
  <si>
    <t>NETWORK_DIVERSION / AIRPORT_LINK</t>
  </si>
  <si>
    <t>Nơ Trang Long nằm trên lộ trình thay thế từ Phạm Văn Đồng/Bình Lợi đi sân bay và trung tâm.</t>
  </si>
  <si>
    <t>Cross-district connector / airport-access role.</t>
  </si>
  <si>
    <t>Lộ trình thay thế ≠ volume.</t>
  </si>
  <si>
    <t>VEHICLE_ADMIN_ANCHOR</t>
  </si>
  <si>
    <t>https://csgt-congan.hochiminhcity.gov.vn/wps/portal/Home/trang-chu/noi-dung-chi-tiet/tin-giao-thong/doi4_quydinhmoitrongdangkyxemay2024</t>
  </si>
  <si>
    <t>Điểm đăng ký xe máy chuyên dùng của CSGT đặt tại 282 Nơ Trang Long.</t>
  </si>
  <si>
    <t>Vehicle-related administrative anchor; supports recurrent vehicle activity context.</t>
  </si>
  <si>
    <t>Administrative anchor ≠ retail footfall.</t>
  </si>
  <si>
    <t>TRANSPORT_HUB / CONGESTION</t>
  </si>
  <si>
    <t>Kinh Dương Vương đoạn Bến xe Miền Tây - Tên Lửa có phương án hạn chế và vòng tránh riêng.</t>
  </si>
  <si>
    <t>Major transport-hub corridor.</t>
  </si>
  <si>
    <t>SAFETY_BLACKSPOT</t>
  </si>
  <si>
    <t>2024-06-14</t>
  </si>
  <si>
    <t>https://csgt-congan.hochiminhcity.gov.vn/wps/portal/Home/trang-chu/noi-dung-chi-tiet/tin-giao-thong/doi3_xoadiemdenkinhduongvuong</t>
  </si>
  <si>
    <t>Đoạn 466-486 từng được xác lập điểm đen tai nạn và sau đó được xóa điểm đen sau 12 tháng không phát sinh TNGT.</t>
  </si>
  <si>
    <t>Demonstrates historically intense safety-management attention.</t>
  </si>
  <si>
    <t>Safety blackspot ≠ high retail demand.</t>
  </si>
  <si>
    <t>MAJOR_NODE_INVESTMENT</t>
  </si>
  <si>
    <t>2025-08-28</t>
  </si>
  <si>
    <t>UBND TP.HCM</t>
  </si>
  <si>
    <t>https://www.congbao.hochiminhcity.gov.vn/tin-tuc-tong-hop/uy-ban-nhan-dan-thanh-pho-ho-chi-minh-ban-hanh-quyet-%C4%91inh-so-1063-q%C4%91-ubnd-ve-duyet-ke-hoach-thi-tuyen-phuong-an-kien-truc-cau-vuot-nut-giao-thong-kinh-duong-vuong-cau-binh-%C4%91ien-va-cac-hang-muc-cong-trinh-nut-giao-thong-binh-thuan</t>
  </si>
  <si>
    <t>Kế hoạch thi tuyển kiến trúc cầu vượt nút Kinh Dương Vương thuộc dự án nâng cấp QL1.</t>
  </si>
  <si>
    <t>Strategic node investment evidence.</t>
  </si>
  <si>
    <t>Investment ≠ measured traffic.</t>
  </si>
  <si>
    <t>Đoạn An Sương - An Lạc đã mang tên Lê Đức Anh</t>
  </si>
  <si>
    <t>GATEWAY / CONGESTION</t>
  </si>
  <si>
    <t>https://csgt-congan.hochiminhcity.gov.vn/wps/portal/Home/trang-chu/noi-dung-chi-tiet/tin-tuc-hoat-dong/doi3_khuyencaonguoidanngayquockhanh2023</t>
  </si>
  <si>
    <t>QL1 có các phương án phân luồng khi ùn tắc ở khu vực phía Tây và Tân Thới Hiệp.</t>
  </si>
  <si>
    <t>Citywide gateway role.</t>
  </si>
  <si>
    <t>Đoạn Kinh Dương Vương đến ranh Long An</t>
  </si>
  <si>
    <t>2025-03-31</t>
  </si>
  <si>
    <t>https://www.congbao.hochiminhcity.gov.vn/tin-tuc-tong-hop/uy-ban-nhan-dan-thanh-pho-ho-chi-minh-ban-hanh-quyet-%C4%91inh-so-1228-q%C4%91-ubnd-ve-giao-nhiem-vu-chuan-bi-du-an-chu-%C4%91au-tu-cac-du-an-thanh-phan-thuoc-du-an-nang-cap-mo-rong-quoc-lo-1</t>
  </si>
  <si>
    <t>TP.HCM chuẩn bị nâng cấp, mở rộng QL1 từ Kinh Dương Vương đến ranh Long An.</t>
  </si>
  <si>
    <t>Strategic west-gateway investment.</t>
  </si>
  <si>
    <t>Investment ≠ current volume.</t>
  </si>
  <si>
    <t>Đoạn An Sương - An Lạc</t>
  </si>
  <si>
    <t>ROAD_NAMING / SCALE</t>
  </si>
  <si>
    <t>2024-2025</t>
  </si>
  <si>
    <t>Sở VHTT TP.HCM</t>
  </si>
  <si>
    <t>https://svhtt.hochiminhcity.gov.vn/tin-chi-tiet/-/chi-tiet/thong-bao-ve-viec-du-kien-%C4%91at-ten-%C4%91uong-cac-%C4%91ong-chi-nguyen-lanh-%C4%91ao-%C4%91ang-nha-nuoc-va-cac-%C4%91ong-chi-chi-huy-chien-dich-ho-chi-minh-25170-2213.html</t>
  </si>
  <si>
    <t>Đoạn An Sương - An Lạc dài khoảng 14,25 km, lộ giới 120 m và được đặt tên Lê Đức Anh.</t>
  </si>
  <si>
    <t>Provides official corridor scale / current naming.</t>
  </si>
  <si>
    <t>Road width/length ≠ traffic.</t>
  </si>
  <si>
    <t>Tên Lửa là tuyến vòng tránh trực tiếp khu Bến xe Miền Tây trên Kinh Dương Vương.</t>
  </si>
  <si>
    <t>Important distributor road around major bus hub.</t>
  </si>
  <si>
    <t>HOLIDAY_DIVERSION</t>
  </si>
  <si>
    <t>Lộ trình 3 khu Bến xe Miền Tây: Kinh Dương Vương → Tên Lửa → Vành Đai Trong → Lê Đức Anh.</t>
  </si>
  <si>
    <t>Repeated official use in traffic diversion.</t>
  </si>
  <si>
    <t>Đoạn thuộc/giáp Bình Tân; cần định vị site-level sau</t>
  </si>
  <si>
    <t>NETWORK_CONNECTOR</t>
  </si>
  <si>
    <t>Tân Kỳ Tân Quý nằm trong lộ trình thay thế Trường Chinh → Lê Trọng Tấn → Nguyễn Thị Tú.</t>
  </si>
  <si>
    <t>Cross-district west/northwest connector.</t>
  </si>
  <si>
    <t>Evidence is network role, not measured volume.</t>
  </si>
  <si>
    <t>Đoạn kết nối Trường Chinh / Lê Trọng Tấn</t>
  </si>
  <si>
    <t>PLANNED_MAJOR_ROAD</t>
  </si>
  <si>
    <t>2018 plan reference</t>
  </si>
  <si>
    <t>UBND TP.HCM / Công báo</t>
  </si>
  <si>
    <t>https://congbao.hochiminhcity.gov.vn/DKC.MFiles.CB/VanBan/File/43301?cbid=43319&amp;ngaybanhanh=04-10-2018&amp;sovanban=4341%2FQ%C4%90-UBND</t>
  </si>
  <si>
    <t>Hồ sơ đầu tư công từng xác định dự án nâng cấp, mở rộng Tân Kỳ Tân Quý, quy mô khoảng 30 m.</t>
  </si>
  <si>
    <t>Supports long-term major-road role.</t>
  </si>
  <si>
    <t>Planning source older; use as structural context.</t>
  </si>
  <si>
    <t>HEAVY_VEHICLE_TRAFFIC_MANAGEMENT</t>
  </si>
  <si>
    <t>Đường gom song hành Võ Trần Chí cấm xe tải &gt;2,5 tấn và xe khách &gt;16 chỗ.</t>
  </si>
  <si>
    <t>Strong evidence of specialized traffic management / heavy-vehicle context.</t>
  </si>
  <si>
    <t>Restriction ≠ traffic count.</t>
  </si>
  <si>
    <t>REGIONAL_DIVERSION</t>
  </si>
  <si>
    <t>Khi QL1 phía Tây ùn tắc, lộ trình thay thế có thể đi Trần Đại Nghĩa → Võ Trần Chí.</t>
  </si>
  <si>
    <t>Regional west-gateway alternative route.</t>
  </si>
  <si>
    <t>QL1 đoạn nút Thủ Đức - An Sương mang tên Đỗ Mười từ 2025</t>
  </si>
  <si>
    <t>CSGT có phương án phân luồng khi ùn tắc QL1 từ cầu vượt Tân Thới Hiệp về Nguyễn Văn Quá.</t>
  </si>
  <si>
    <t>Primary east-west/northwest gateway corridor.</t>
  </si>
  <si>
    <t>ROAD_SCALE / CURRENT_NAMING</t>
  </si>
  <si>
    <t>Đoạn từ nút Thủ Đức đến An Sương dài khoảng 21,06 km, lộ giới 120 m.</t>
  </si>
  <si>
    <t>Official corridor scale / naming.</t>
  </si>
  <si>
    <t>Scale ≠ traffic.</t>
  </si>
  <si>
    <t>CURRENT_CONSTRUCTION_DIVERSION</t>
  </si>
  <si>
    <t>2025-11</t>
  </si>
  <si>
    <t>https://csgt-congan.hochiminhcity.gov.vn/wps/portal/Home/trang-chu/noi-dung-chi-tiet/an-toan-giao-thong/as_bai48_02112025</t>
  </si>
  <si>
    <t>CSGT khuyến nghị các lộ trình thay thế Đỗ Mười → Lê Văn Khương → Nguyễn Ảnh Thủ → Tô Ký khi xảy ra ùn tắc/sự cố.</t>
  </si>
  <si>
    <t>Current repeated traffic-management role.</t>
  </si>
  <si>
    <t>DIVERSION / CROSS_DISTRICT_CONNECTOR</t>
  </si>
  <si>
    <t>2023-2025</t>
  </si>
  <si>
    <t>Lê Văn Khương là nhánh vòng tránh QL1 khi ùn tắc tại Tân Thới Hiệp.</t>
  </si>
  <si>
    <t>Key connector from Q12 toward Gò Vấp/Hóc Môn network.</t>
  </si>
  <si>
    <t>PLANNING / DEVELOPMENT_AXIS</t>
  </si>
  <si>
    <t>2013 planning source</t>
  </si>
  <si>
    <t>https://www.congbao.hochiminhcity.gov.vn/tin-tuc-tong-hop/Do-an-quy-hoach-phan-khu-ty-le-1-2000-Khu-dan-cu-va-cong-nghiep-Tan-Thoi-Hiep--phuong-Hiep-Thanh--quan-12-</t>
  </si>
  <si>
    <t>Quy hoạch xác định Lê Văn Khương lộ giới 40 m và cùng Nguyễn Ảnh Thủ là hai tuyến động lực phát triển của Quận 12.</t>
  </si>
  <si>
    <t>Official structural importance.</t>
  </si>
  <si>
    <t>Nguồn quy hoạch cũ; không phải current traffic count.</t>
  </si>
  <si>
    <t>CURRENT_DIVERSION</t>
  </si>
  <si>
    <t>Lê Văn Khương tiếp tục được dùng trong lộ trình thay thế từ Đỗ Mười đi miền Tây/Tây Ninh.</t>
  </si>
  <si>
    <t>Repeated current network role.</t>
  </si>
  <si>
    <t>Nguyễn Ảnh Thủ nằm trong chuỗi phân luồng Lê Văn Khương → Nguyễn Ảnh Thủ → Tô Ký để ra QL1/QL22.</t>
  </si>
  <si>
    <t>Strong distributor-road evidence.</t>
  </si>
  <si>
    <t>Quy hoạch xác định Nguyễn Ảnh Thủ lộ giới 30 m và là một trong hai tuyến động lực phát triển của Quận 12.</t>
  </si>
  <si>
    <t>Structural corridor importance.</t>
  </si>
  <si>
    <t>Nguồn quy hoạch cũ.</t>
  </si>
  <si>
    <t>https://csgt-congan.hochiminhcity.gov.vn/wps/portal/Home/trang-chu/noi-dung-chi-tiet/tin-giao-thong/tt_31_28022025</t>
  </si>
  <si>
    <t>Điểm tiếp nhận cấp/đổi GPLX đặt tại số 08 Nguyễn Ảnh Thủ; khu vực cũng có điểm đăng ký xe An Sương.</t>
  </si>
  <si>
    <t>Vehicle-related administrative demand anchor.</t>
  </si>
  <si>
    <t>Administrative activity ≠ retail traffic.</t>
  </si>
  <si>
    <t>FLOOD / TRAFFIC_DISRUPTION</t>
  </si>
  <si>
    <t>2023-07-05</t>
  </si>
  <si>
    <t>https://csgt-congan.hochiminhcity.gov.vn/wps/portal/Home/trang-chu/noi-dung-chi-tiet/nguoi-tot-viec-tot/as_hotronguoidantrongdieukienthoitietxau</t>
  </si>
  <si>
    <t>CSGT ghi nhận ngập nặng trên Nguyễn Ảnh Thủ làm nhiều phương tiện chết máy, phải hỗ trợ qua khu vực.</t>
  </si>
  <si>
    <t>Traffic resilience / operational risk context.</t>
  </si>
  <si>
    <t>Sự kiện thời tiết, không phải volume.</t>
  </si>
  <si>
    <t>Tô Ký là đoạn cuối của chuỗi vòng tránh QL1, kết nối trở lại QL1 hoặc hướng QL22.</t>
  </si>
  <si>
    <t>Important distributor / cross-district role.</t>
  </si>
  <si>
    <t>URBAN_STRUCTURE / SPECIAL_AREA</t>
  </si>
  <si>
    <t>2014 planning source</t>
  </si>
  <si>
    <t>https://www.congbao.hochiminhcity.gov.vn/DKC.MFiles.CB/Gazette/DownLoadFileResult/40437</t>
  </si>
  <si>
    <t>Quy hoạch đô thị xác định khu vực dọc tuyến Tô Ký là một khu vực đặc trưng/định hướng phát triển của Quận 12.</t>
  </si>
  <si>
    <t>Structural urban-axis evidence.</t>
  </si>
  <si>
    <t>URBAN_STRUCTURE / MAJOR_CORRIDOR</t>
  </si>
  <si>
    <t>2012-2014 planning sources</t>
  </si>
  <si>
    <t>https://www.congbao.hochiminhcity.gov.vn/tin-tuc-tong-hop/Nhiem-vu-quy-hoach-phan-khu-ty-le-1-2000-Khu-1---phia-Bac-phuong-Thanh-Xuan--quan-12-</t>
  </si>
  <si>
    <t>Hà Huy Giáp tạo ranh phía Đông nhiều khu quy hoạch Thạnh Xuân; quy hoạch đô thị coi khu vực dọc tuyến là trục quan trọng.</t>
  </si>
  <si>
    <t>Major north-east urban corridor role.</t>
  </si>
  <si>
    <t>Planning importance, not measured traffic.</t>
  </si>
  <si>
    <t>CITY_SPECIAL_AREA</t>
  </si>
  <si>
    <t>Danh mục quy hoạch ghi khu vực dọc Hà Huy Giáp là khu vực đặc trưng của Quận 12.</t>
  </si>
  <si>
    <t>Supports structural importance / commercial-corridor potential.</t>
  </si>
  <si>
    <t>Scope</t>
  </si>
  <si>
    <t>Chỉ nghiên cứu Step 2 cho Top 3 đã validated: Bình Thạnh, Bình Tân, Quận 12.</t>
  </si>
  <si>
    <t>Goal</t>
  </si>
  <si>
    <t>Chọn 5 cung đường mỗi khu để đưa sang demographic + rent + site analysis; tổng 15 tuyến.</t>
  </si>
  <si>
    <t>Selection logic</t>
  </si>
  <si>
    <t>Không dùng weighted score. Chọn các trục có evidence chính thức và đại diện các network roles khác nhau: core arterial, gateway, hub feeder, cross-connector, heavy-vehicle, development axis.</t>
  </si>
  <si>
    <t>Ưu tiên CSGT TP.HCM, Sở Xây dựng/Cổng GT, Công báo/UBND/HĐND TP.HCM. Evidence categories được lưu theo từng row.</t>
  </si>
  <si>
    <t>Evidence count</t>
  </si>
  <si>
    <t>Số evidence/source chỉ phản ánh độ rộng bằng chứng. Không được hiểu là tuyến có 4 evidence gấp đôi traffic tuyến có 2 evidence.</t>
  </si>
  <si>
    <t>Numeric traffic</t>
  </si>
  <si>
    <t>Hiện chưa có bộ AADT/vehicle-count đồng nhất cho 15 tuyến. Nếu tìm được numeric count riêng lẻ thì lưu nhưng không so trực tiếp nếu định nghĩa/khung giờ khác nhau.</t>
  </si>
  <si>
    <t>Current naming</t>
  </si>
  <si>
    <t>QL1 qua Q12/Bình Tân đã có các đoạn mang tên Đỗ Mười/Lê Đức Anh từ 2025; workbook giữ cả tên mới và tên QL1 cũ để trace nguồn.</t>
  </si>
  <si>
    <t>Next step</t>
  </si>
  <si>
    <t>Sau Step 2: cho từng tuyến nghiên cứu demographic/catchment, employment/commercial anchors, rent 25–45m², rồi mới site candidates.</t>
  </si>
  <si>
    <t>context_category</t>
  </si>
  <si>
    <t>anchor_or_signal</t>
  </si>
  <si>
    <t>numeric_value</t>
  </si>
  <si>
    <t>unit_or_scale</t>
  </si>
  <si>
    <t>source_date</t>
  </si>
  <si>
    <t>how_to_use</t>
  </si>
  <si>
    <t>HEALTHCARE_ANCHOR</t>
  </si>
  <si>
    <t>Bệnh viện Nhân dân Gia Định</t>
  </si>
  <si>
    <t>major hospital</t>
  </si>
  <si>
    <t>https://bvndgiadinh.org.vn/</t>
  </si>
  <si>
    <t>First-party hospital</t>
  </si>
  <si>
    <t>Large healthcare anchor directly on Nơ Trang Long.</t>
  </si>
  <si>
    <t>Hospital activity ≠ repair demand.</t>
  </si>
  <si>
    <t>Bệnh viện Nhân dân Gia Định - địa chỉ số 1 Nơ Trang Long</t>
  </si>
  <si>
    <t>address confirmation</t>
  </si>
  <si>
    <t>https://beta.bvndgiadinh.org.vn/lien-he</t>
  </si>
  <si>
    <t>Confirms direct corridor presence.</t>
  </si>
  <si>
    <t>No visitor count inferred.</t>
  </si>
  <si>
    <t>PRIORITY_ROAD</t>
  </si>
  <si>
    <t>TP.HCM priority-road list</t>
  </si>
  <si>
    <t>official priority corridor</t>
  </si>
  <si>
    <t>2012</t>
  </si>
  <si>
    <t>https://www.congbao.hochiminhcity.gov.vn/tin-tuc-tong-hop/Danh-muc-cac-tuyen-duong-uu-tien-tren-dia-ban-Thanh-pho-</t>
  </si>
  <si>
    <t>Official HCMC gazette</t>
  </si>
  <si>
    <t>Official network-importance evidence.</t>
  </si>
  <si>
    <t>Older strategic classification; not current AADT.</t>
  </si>
  <si>
    <t>Official northeast gateway classification.</t>
  </si>
  <si>
    <t>Older strategic classification.</t>
  </si>
  <si>
    <t>Official network importance.</t>
  </si>
  <si>
    <t>EDUCATION_CATCHMENT</t>
  </si>
  <si>
    <t>HUTECH - cơ sở Ung Văn Khiêm / Điện Biên Phủ</t>
  </si>
  <si>
    <t>major campuses nearby</t>
  </si>
  <si>
    <t>https://www.hutech.edu.vn/home</t>
  </si>
  <si>
    <t>First-party university</t>
  </si>
  <si>
    <t>Supports student/young-adult catchment in wider Bình Thạnh corridor system.</t>
  </si>
  <si>
    <t>Nearby-district/corridor context; not a measured walking catchment.</t>
  </si>
  <si>
    <t>UEF - 141-145 &amp; 276-282 Điện Biên Phủ</t>
  </si>
  <si>
    <t>campuses nearby</t>
  </si>
  <si>
    <t>https://www.uef.edu.vn/knn/tin-tuc-su-kien/uef-thong-bao-thay-doi-dia-chi-tru-so-chinh-va-co-so-dao-tao-cua-truong-31334</t>
  </si>
  <si>
    <t>Supports student catchment around Hàng Xanh/central Bình Thạnh.</t>
  </si>
  <si>
    <t>Not corridor footfall measurement.</t>
  </si>
  <si>
    <t>COMMERCIAL_ANCHOR</t>
  </si>
  <si>
    <t>Vincom Center Landmark 81</t>
  </si>
  <si>
    <t>stores</t>
  </si>
  <si>
    <t>https://vincom.com.vn/vincom-center-landmark-81/gioi-thieu</t>
  </si>
  <si>
    <t>First-party retail</t>
  </si>
  <si>
    <t>Large retail/commercial anchor in Bình Thạnh market.</t>
  </si>
  <si>
    <t>Not on QL13 itself; wider district demand context only.</t>
  </si>
  <si>
    <t>COMMERCIAL_PLANNING</t>
  </si>
  <si>
    <t>Official Bình Tân master-plan orientation</t>
  </si>
  <si>
    <t>commercial-service axis</t>
  </si>
  <si>
    <t>https://qhkt.hochiminhcity.gov.vn/Uploads/Document/Maps/QHC_BinhTan_6012_QD_UBND_26_11_2012_1.pdf</t>
  </si>
  <si>
    <t>Official HCMC planning</t>
  </si>
  <si>
    <t>Plan explicitly promotes commerce/services along Kinh Dương Vương.</t>
  </si>
  <si>
    <t>Planning intent ≠ current demand.</t>
  </si>
  <si>
    <t>AEON MALL Bình Tân</t>
  </si>
  <si>
    <t>https://aeonmall-vietnam.com/vi/aeon-mall-binh-tan/</t>
  </si>
  <si>
    <t>Large destination retail anchor near Tên Lửa / Kinh Dương Vương.</t>
  </si>
  <si>
    <t>Store count ≠ corridor traffic.</t>
  </si>
  <si>
    <t>m² GLA</t>
  </si>
  <si>
    <t>Retail scale context.</t>
  </si>
  <si>
    <t>Not street-level rent.</t>
  </si>
  <si>
    <t>PARKING_CAPACITY</t>
  </si>
  <si>
    <t>motorcycles</t>
  </si>
  <si>
    <t>Motorized-access capacity context.</t>
  </si>
  <si>
    <t>Parking capacity ≠ daily visitors.</t>
  </si>
  <si>
    <t>cars</t>
  </si>
  <si>
    <t>Older classification.</t>
  </si>
  <si>
    <t>ring-road / gateway corridor</t>
  </si>
  <si>
    <t>https://congbao.hochiminhcity.gov.vn/tin-tuc-tong-hop/Danh-muc-cac-tuyen-duong-uu-tien-tren-dia-ban-Thanh-pho-</t>
  </si>
  <si>
    <t>QL1 is official ring-road/gateway corridor.</t>
  </si>
  <si>
    <t>Road renamed in sections later; source uses QL1.</t>
  </si>
  <si>
    <t>INDUSTRIAL_CATCHMENT</t>
  </si>
  <si>
    <t>KCN Tân Tạo mở rộng</t>
  </si>
  <si>
    <t>hectares</t>
  </si>
  <si>
    <t>2008/current legal status</t>
  </si>
  <si>
    <t>https://congbao.hochiminhcity.gov.vn/cong-bao/van-ban/quyet-dinh/so/1512-qd-ubnd/ngay/04-04-2008/tai-ve/30335</t>
  </si>
  <si>
    <t>Industrial/employment catchment context west of Bình Tân.</t>
  </si>
  <si>
    <t>Industrial area ≠ employee headcount.</t>
  </si>
  <si>
    <t>INDUSTRIAL_PROFILE</t>
  </si>
  <si>
    <t>electronics/electrical among permitted industries</t>
  </si>
  <si>
    <t>2008</t>
  </si>
  <si>
    <t>Tech/electronics industrial-use context relevant to device-intensive employment.</t>
  </si>
  <si>
    <t>No direct retail-demand inference.</t>
  </si>
  <si>
    <t>RESIDENTIAL_DEVELOPMENT</t>
  </si>
  <si>
    <t>Tân Tạo residential area - Khu 2</t>
  </si>
  <si>
    <t>2013</t>
  </si>
  <si>
    <t>https://congbao.hochiminhcity.gov.vn/tin-tuc-tong-hop/Do-an-quy-hoach-chi-tiet-xay-dung-do-thi-ty-le-1-2000-khu-dan-cu-Tan-Tao-hien-huu--khu-2---phuong-Tan-Tao-A--quan-Binh-Tan</t>
  </si>
  <si>
    <t>Residential catchment context near industrial area.</t>
  </si>
  <si>
    <t>Planning-area size ≠ resident count.</t>
  </si>
  <si>
    <t>TECH_EMPLOYMENT_ANCHOR</t>
  </si>
  <si>
    <t>digital-tech companies</t>
  </si>
  <si>
    <t>https://www.qtsc.com.vn/</t>
  </si>
  <si>
    <t>Strong technology/employment anchor near Tô Ký / Nguyễn Ảnh Thủ.</t>
  </si>
  <si>
    <t>Company count ≠ repair demand.</t>
  </si>
  <si>
    <t>people working/studying</t>
  </si>
  <si>
    <t>Directly useful technology-user catchment context.</t>
  </si>
  <si>
    <t>People count is QTSC campus-wide, not road footfall.</t>
  </si>
  <si>
    <t>EDUCATION_ANCHOR</t>
  </si>
  <si>
    <t>QTSC training ecosystem</t>
  </si>
  <si>
    <t>university/college training centers</t>
  </si>
  <si>
    <t>Supports student/education catchment.</t>
  </si>
  <si>
    <t>Campus-level, not corridor traffic.</t>
  </si>
  <si>
    <t>ĐH Giao thông vận tải TP.HCM - cơ sở 3</t>
  </si>
  <si>
    <t>street number Tô Ký</t>
  </si>
  <si>
    <t>https://vanbang.ut.edu.vn/tracuu/</t>
  </si>
  <si>
    <t>Direct university presence on Tô Ký.</t>
  </si>
  <si>
    <t>Address evidence only.</t>
  </si>
  <si>
    <t>ĐH Lao động - Xã hội Cơ sở II</t>
  </si>
  <si>
    <t>https://tuyensinh.ulsa.edu.vn/tin-tuc-chung/truong-dai-hoc-lao-dong-xa-hoi-tuyen-sinh-dai-hoc-chinh-quy-nam-2026/</t>
  </si>
  <si>
    <t>ĐH Nguyễn Tất Thành - cơ sở An Phú Đông</t>
  </si>
  <si>
    <t>street number Đỗ Mười</t>
  </si>
  <si>
    <t>https://ttst.ntt.edu.vn/lien-he/</t>
  </si>
  <si>
    <t>Direct university campus on corridor.</t>
  </si>
  <si>
    <t>No student headcount inferred.</t>
  </si>
  <si>
    <t>ĐH Nguyễn Tất Thành - additional An Phú Đông location</t>
  </si>
  <si>
    <t>https://fast.ntt.edu.vn/lien-he/</t>
  </si>
  <si>
    <t>Additional campus/activity node on corridor.</t>
  </si>
  <si>
    <t>PLANNING_SCALE</t>
  </si>
  <si>
    <t>Official planning road width</t>
  </si>
  <si>
    <t>m planned right-of-way</t>
  </si>
  <si>
    <t>Structural corridor scale.</t>
  </si>
  <si>
    <t>Planning width ≠ built width everywhere.</t>
  </si>
  <si>
    <t>TRANSPORT_HUB</t>
  </si>
  <si>
    <t>Bến xe Miền Tây</t>
  </si>
  <si>
    <t>m² station area</t>
  </si>
  <si>
    <t>https://www.bxmt.com.vn/vi?site_domain=default</t>
  </si>
  <si>
    <t>First-party bus terminal</t>
  </si>
  <si>
    <t>Direct major interprovincial transport hub at 395 Kinh Dương Vương.</t>
  </si>
  <si>
    <t>Station area ≠ daily passenger count.</t>
  </si>
  <si>
    <t>TRANSPORT_NETWORK</t>
  </si>
  <si>
    <t>Bến xe Miền Tây route network</t>
  </si>
  <si>
    <t>large interprovincial route network</t>
  </si>
  <si>
    <t>https://searching.bxmt.com.vn/</t>
  </si>
  <si>
    <t>Confirms active long-distance route network from the corridor.</t>
  </si>
  <si>
    <t>Route-list breadth ≠ passenger volume.</t>
  </si>
  <si>
    <t>PUBLIC_TRANSPORT_CONNECTIVITY</t>
  </si>
  <si>
    <t>Bus route 618 passes Tên Lửa → Kinh Dương Vương</t>
  </si>
  <si>
    <t>trips/day (route 618 context)</t>
  </si>
  <si>
    <t>https://www.binhduong.gov.vn/dautuphattrien/Lists/ThongTinCanBiet/TongQuat.aspx?PageFirstRow=1&amp;View=%7BF162A238-472C-43F3-9887-DA609B1D0DB6%7D&amp;p_Modified=20230815+20%3A36%3A38</t>
  </si>
  <si>
    <t>Official Bình Dương portal</t>
  </si>
  <si>
    <t>One quantified public-transport frequency example through Tên Lửa/Kinh Dương Vương.</t>
  </si>
  <si>
    <t>Single bus route, not total corridor traffic.</t>
  </si>
  <si>
    <t>Bus route 618 passes Tô Ký</t>
  </si>
  <si>
    <t>One quantified transit-frequency example through Tô Ký.</t>
  </si>
  <si>
    <t>Single route, not total road traffic.</t>
  </si>
  <si>
    <t>Bus route 67 old-to-new Eastern Bus Station</t>
  </si>
  <si>
    <t>official bus route</t>
  </si>
  <si>
    <t>https://sgtvt.hochiminhcity.gov.vn/Files/1020/413-Q%C4%90-SGTVT.signed.pdf</t>
  </si>
  <si>
    <t>Official transport authority</t>
  </si>
  <si>
    <t>Official route links old Eastern Bus Station via Xô Viết Nghệ Tĩnh toward new Eastern Bus Station.</t>
  </si>
  <si>
    <t>Route presence ≠ total corridor traffic.</t>
  </si>
  <si>
    <t>Bus route 67 serves old Eastern Bus Station via Đinh Bộ Lĩnh</t>
  </si>
  <si>
    <t>Confirms continued public-transport role around old Eastern Bus Station.</t>
  </si>
  <si>
    <t>Bus route 67 uses Quốc lộ 13</t>
  </si>
  <si>
    <t>Confirms route function in northeast corridor.</t>
  </si>
  <si>
    <t>Khu công nghiệp Tân Thới Hiệp</t>
  </si>
  <si>
    <t>hectares operating area</t>
  </si>
  <si>
    <t>https://izhub.vn/khu-cong-nghiep/kcn-tan-thoi-hiep</t>
  </si>
  <si>
    <t>Industrial park directory cross-referencing HEPZA/VIETRADE</t>
  </si>
  <si>
    <t>Industrial employment/worker catchment directly on Nguyễn Ảnh Thủ.</t>
  </si>
  <si>
    <t>Secondary compilation; official planning separately confirms KCN.</t>
  </si>
  <si>
    <t>Tân Thới Hiệp residential-industrial planning area</t>
  </si>
  <si>
    <t>Area bounded west by Nguyễn Ảnh Thủ; mixed residential + industrial functions.</t>
  </si>
  <si>
    <t>Planning area ≠ current employee count.</t>
  </si>
  <si>
    <t>Area bounded east by Lê Văn Khương; supports worker/resident catchment.</t>
  </si>
  <si>
    <t>Planning area ≠ current demand.</t>
  </si>
  <si>
    <t>RETAIL_ANCHOR</t>
  </si>
  <si>
    <t>Co.opmart Nguyễn Ảnh Thủ / Co.opmart Hiệp Thành</t>
  </si>
  <si>
    <t>supermarket anchors</t>
  </si>
  <si>
    <t>2020 list</t>
  </si>
  <si>
    <t>https://static-cms-sggp.zadn.vn/Uploaded/tknhutminh/2020_04_06/quan12_IQFK.pdf</t>
  </si>
  <si>
    <t>Published official-area essential-goods list</t>
  </si>
  <si>
    <t>Two supermarket anchors listed on Nguyễn Ảnh Thủ.</t>
  </si>
  <si>
    <t>Older list; verify current operating status.</t>
  </si>
  <si>
    <t>Co.opmart Tô Ký</t>
  </si>
  <si>
    <t>Retail anchor directly on Tô Ký.</t>
  </si>
  <si>
    <t>Trung tâm Y tế quận Bình Tân</t>
  </si>
  <si>
    <t>address 1014/88/1 Tân Kỳ Tân Quý</t>
  </si>
  <si>
    <t>https://congbao.hochiminhcity.gov.vn/cong-bao/van-ban/quyet-dinh/so/768-qd-ubnd/ngay/09-03-2023/tai-ve/45456</t>
  </si>
  <si>
    <t>Public healthcare/service anchor directly on Tân Kỳ Tân Quý.</t>
  </si>
  <si>
    <t>Anchor presence ≠ retail footfall.</t>
  </si>
  <si>
    <t>Trường Cao đẳng Điện lực TP.HCM</t>
  </si>
  <si>
    <t>street number Hà Huy Giáp</t>
  </si>
  <si>
    <t>https://gdnn.tphcm.gov.vn/truong-cao-dang-dien-luc-tphcm</t>
  </si>
  <si>
    <t>Official HCMC vocational-education portal</t>
  </si>
  <si>
    <t>Direct education/technical-student anchor on Hà Huy Giáp.</t>
  </si>
  <si>
    <t>Enrollment target ≠ actual daily attendance.</t>
  </si>
  <si>
    <t>EDUCATION_SCALE</t>
  </si>
  <si>
    <t>college admission target</t>
  </si>
  <si>
    <t>Useful student catchment scale; electrical/electronics-related training may be relevant to device users.</t>
  </si>
  <si>
    <t>Admission target, not actual enrolled population.</t>
  </si>
  <si>
    <t>intermediate admission target</t>
  </si>
  <si>
    <t>Additional student catchment scale.</t>
  </si>
  <si>
    <t>Bus route 43: Bến xe Miền Đông - Phà Cát Lái</t>
  </si>
  <si>
    <t>official bus route via Nguyễn Xí</t>
  </si>
  <si>
    <t>https://sgtvt.hochiminhcity.gov.vn/Files/1115/2025_112_31%20tuyen.pdf</t>
  </si>
  <si>
    <t>Confirms Nguyễn Xí is directly served by an official cross-city bus route.</t>
  </si>
  <si>
    <t>GATEWAY_DIVERSION</t>
  </si>
  <si>
    <t>Bến xe Miền Đông / Phạm Văn Đồng diversion</t>
  </si>
  <si>
    <t>official diversion corridor</t>
  </si>
  <si>
    <t>Nguyễn Xí repeatedly used in official routes linking QL13/Phạm Văn Đồng to central Bình Thạnh and airport.</t>
  </si>
  <si>
    <t>Diversion evidence ≠ AADT.</t>
  </si>
  <si>
    <t>Western gateway diversion via Lê Đức Anh</t>
  </si>
  <si>
    <t>Lê Đức Anh appears in official west-gateway diversion routes toward Tây Ninh / city center.</t>
  </si>
  <si>
    <t>Diversion evidence ≠ retail demand.</t>
  </si>
  <si>
    <t>evidence_type</t>
  </si>
  <si>
    <t>listing_scope</t>
  </si>
  <si>
    <t>listing_count_shown</t>
  </si>
  <si>
    <t>sample_area_m2</t>
  </si>
  <si>
    <t>sample_rent_million_month</t>
  </si>
  <si>
    <t>commercial_usability</t>
  </si>
  <si>
    <t>sample_description</t>
  </si>
  <si>
    <t>CURRENT_RENT_SAMPLE</t>
  </si>
  <si>
    <t>30-50m² houses</t>
  </si>
  <si>
    <t>POTENTIALLY_USABLE</t>
  </si>
  <si>
    <t>Nhà Nơ Trang Long 42m² 3 tầng - 26 triệu/tháng</t>
  </si>
  <si>
    <t>2026-08</t>
  </si>
  <si>
    <t>https://batdongsan.com.vn/cho-thue-nha-mat-pho-duong-no-trang-long-phuong-11-7/3pn</t>
  </si>
  <si>
    <t>Asking rent; verify frontage/ground-floor usability before use.</t>
  </si>
  <si>
    <t>Nhà nguyên căn Nơ Trang Long 36m² - 19 triệu/tháng</t>
  </si>
  <si>
    <t>https://batdongsan.com.vn/cho-thue-nha-rieng-phuong-7-9/dt-tu-30m2-den-50m2</t>
  </si>
  <si>
    <t>Asking rent; secondary street segment context.</t>
  </si>
  <si>
    <t>small storefront / nearby</t>
  </si>
  <si>
    <t>Mặt bằng Xô Viết Nghệ Tĩnh 50m² - 12,5 triệu/tháng</t>
  </si>
  <si>
    <t>https://batdongsan.com.vn/cho-thue-nha-mat-pho-phuong-thanh-my-tay-tp-ho-chi-minh/dt-tu-30m2-den-50m2</t>
  </si>
  <si>
    <t>50m² is slightly above target 25-45m²; supporting only.</t>
  </si>
  <si>
    <t>SEARCH_RESULT_STATUS</t>
  </si>
  <si>
    <t>30-50m² frontage</t>
  </si>
  <si>
    <t>NO_EXACT_FRONTAGE_SAMPLE</t>
  </si>
  <si>
    <t>Exact 30-50m² frontage search returned zero listings at crawl time.</t>
  </si>
  <si>
    <t>2026-10</t>
  </si>
  <si>
    <t>https://batdongsan.com.vn/cho-thue-nha-mat-pho-duong-dinh-bo-linh-phuong-24/dt-tu-30m2-den-50m2</t>
  </si>
  <si>
    <t>Zero search results ≠ no market; do not convert to zero rent.</t>
  </si>
  <si>
    <t>RESIDENTIAL_RENT_CONTEXT</t>
  </si>
  <si>
    <t>30-50m² rooms</t>
  </si>
  <si>
    <t>NOT_COMMERCIAL_COMPARABLE</t>
  </si>
  <si>
    <t>Phòng mặt tiền Đinh Bộ Lĩnh gần bến xe 40m² - 5 triệu/tháng</t>
  </si>
  <si>
    <t>https://batdongsan.com.vn/cho-thue-nha-tro-phong-tro-duong-dinh-bo-linh-66/dt-tu-30m2-den-50m2</t>
  </si>
  <si>
    <t>Residential/room rent only; not usable for official commercial median.</t>
  </si>
  <si>
    <t>Studio 40m² QL13 - 5,2 triệu/tháng</t>
  </si>
  <si>
    <t>https://batdongsan.com.vn/cho-thue-nha-tro-phong-tro-duong-quoc-lo-13-66/dt-tu-30m2-den-50m2</t>
  </si>
  <si>
    <t>Residential rent only.</t>
  </si>
  <si>
    <t>Phòng 30m² Nguyễn Xí - 4,5 triệu/tháng</t>
  </si>
  <si>
    <t>2026-07</t>
  </si>
  <si>
    <t>https://batdongsan.com.vn/cho-thue-nha-tro-phong-tro-pho-nguyen-xi-66/dt-tu-30m2-den-50m2</t>
  </si>
  <si>
    <t>ground-floor storefront</t>
  </si>
  <si>
    <t>ABOVE_TARGET_AREA</t>
  </si>
  <si>
    <t>Mặt bằng tầng trệt 50m² mặt tiền Tên Lửa sát AEON - 15 triệu/tháng</t>
  </si>
  <si>
    <t>https://batdongsan.com.vn/cho-thue-nha-mat-pho-duong-ten-lua-65/dt-tu-50m2-den-80m2</t>
  </si>
  <si>
    <t>50m² slightly above target; supporting sample.</t>
  </si>
  <si>
    <t>frontage house</t>
  </si>
  <si>
    <t>Mặt tiền Tên Lửa đối diện AEON 76m² - 20 triệu/tháng</t>
  </si>
  <si>
    <t>Area above 45m²; supporting context only.</t>
  </si>
  <si>
    <t>small house / alley</t>
  </si>
  <si>
    <t>Nhà hẻm kinh doanh được 40m² - 9 triệu/tháng</t>
  </si>
  <si>
    <t>https://batdongsan.com.vn/cho-thue-nha-rieng-duong-tan-ky-tan-quy-65/dt-tu-250m2-den-300m2</t>
  </si>
  <si>
    <t>Not frontage; separate from storefront rent.</t>
  </si>
  <si>
    <t>Nhà gần Tân Kỳ Tân Quý 50m² - 11 triệu/tháng</t>
  </si>
  <si>
    <t>Area slightly above target; not frontage.</t>
  </si>
  <si>
    <t>frontage listings</t>
  </si>
  <si>
    <t>NOT_TARGET_FORMAT</t>
  </si>
  <si>
    <t>Current result page dominated by very large frontage properties (e.g. 700m² / 150m).</t>
  </si>
  <si>
    <t>https://batdongsan.com.vn/cho-thue-nha-mat-pho-duong-kinh-duong-vuong-65/dt-tren-500m2</t>
  </si>
  <si>
    <t>Not comparable to Trạm 25-45m²; indicates target-format supply gap.</t>
  </si>
  <si>
    <t>30-50m² whole house</t>
  </si>
  <si>
    <t>Nhà 1 trệt 2 lầu 32m² gần KCN Tân Thới Hiệp - 6,5 triệu/tháng</t>
  </si>
  <si>
    <t>https://batdongsan.com.vn/cho-thue-nha-rieng-duong-nguyen-anh-thu-64/dt-tu-30m2-den-50m2</t>
  </si>
  <si>
    <t>Whole-house asking rent; frontage/business usability must be verified.</t>
  </si>
  <si>
    <t>https://batdongsan.com.vn/cho-thue-nha-mat-pho-duong-nguyen-anh-thu-64/dt-tu-30m2-den-50m2</t>
  </si>
  <si>
    <t>Zero results ≠ zero market.</t>
  </si>
  <si>
    <t>https://batdongsan.com.vn/cho-thue-nha-mat-pho-duong-le-van-khuong-64/dt-tu-30m2-den-50m2</t>
  </si>
  <si>
    <t>Phòng 36m² Lê Văn Khương - 4,5 triệu/tháng</t>
  </si>
  <si>
    <t>https://batdongsan.com.vn/cho-thue-nha-tro-phong-tro-duong-le-van-khuong-64/dt-tu-30m2-den-50m2</t>
  </si>
  <si>
    <t>Phòng 30m² Tô Ký gần QTSC - 3,7 triệu/tháng</t>
  </si>
  <si>
    <t>https://batdongsan.com.vn/cho-thue-nha-tro-phong-tro-duong-to-ky-64/dt-tu-30m2-den-50m2</t>
  </si>
  <si>
    <t>Studio 35m² Hà Huy Giáp / Ngã Tư Ga - 3,8 triệu/tháng</t>
  </si>
  <si>
    <t>https://batdongsan.com.vn/cho-thue-nha-tro-phong-tro-duong-ha-huy-giap-64/dt-tu-30m2-den-50m2</t>
  </si>
  <si>
    <t>target-format commercial rent</t>
  </si>
  <si>
    <t>SOURCE_NOT_FOUND_YET</t>
  </si>
  <si>
    <t>No clean comparable 25-45m² commercial listing captured in this research pass.</t>
  </si>
  <si>
    <t>https://batdongsan.com.vn/</t>
  </si>
  <si>
    <t>Keep as search gap; do not impute rent.</t>
  </si>
  <si>
    <t>frontage retail</t>
  </si>
  <si>
    <t>USABLE_CURRENT</t>
  </si>
  <si>
    <t>Mặt bằng mặt tiền QL13 gần Bến xe Miền Đông cũ, 40m² - 11 triệu/tháng</t>
  </si>
  <si>
    <t>2026-08-11</t>
  </si>
  <si>
    <t>https://batdongsan.com.vn/cho-thue-sang-nhuong-cua-hang-ki-ot-duong-quoc-lo-13-66</t>
  </si>
  <si>
    <t>Current commercial asking rent; verify exact frontage/parking before site use.</t>
  </si>
  <si>
    <t>Mặt bằng mặt tiền QL13, 40m² - 10 triệu/tháng</t>
  </si>
  <si>
    <t>2026-08-10</t>
  </si>
  <si>
    <t>Current commercial asking rent.</t>
  </si>
  <si>
    <t>Chính chủ cho thuê mặt bằng kinh doanh 42m² ngay QL13 - 10 triệu/tháng</t>
  </si>
  <si>
    <t>2026-06-11</t>
  </si>
  <si>
    <t>Current commercial asking rent; distinct 42m² listing.</t>
  </si>
  <si>
    <t>ground-floor commercial</t>
  </si>
  <si>
    <t>Mặt bằng riêng biệt Đinh Bộ Lĩnh 4x10m - 10 triệu/tháng</t>
  </si>
  <si>
    <t>https://batdongsan.com.vn/cho-thue-sang-nhuong-cua-hang-ki-ot-phuong-binh-thanh-tp-ho-chi-minh/dt-tu-30m2-den-50m2</t>
  </si>
  <si>
    <t>Commercial asking rent; within 25-45m² target.</t>
  </si>
  <si>
    <t>whole frontage house</t>
  </si>
  <si>
    <t>Nhà mặt tiền Đinh Bộ Lĩnh 5x6m, 30m² footprint - 20 triệu/tháng</t>
  </si>
  <si>
    <t>https://www.nhatot.com/thue-van-phong-mat-bang-kinh-doanh-quan-binh-thanh-tp-ho-chi-minh/122765023.htm</t>
  </si>
  <si>
    <t>Nhà Tốt</t>
  </si>
  <si>
    <t>Whole-house rent; 30m² footprint but multi-storey—verify effective usable format.</t>
  </si>
  <si>
    <t>Mặt bằng mặt tiền Xô Viết Nghệ Tĩnh gần Hàng Xanh, 40m² - 15 triệu/tháng</t>
  </si>
  <si>
    <t>2026-05-28</t>
  </si>
  <si>
    <t>https://batdongsan.com.vn/cho-thue-sang-nhuong-cua-hang-ki-ot-duong-xo-viet-nghe-tinh-66/dt-tu-30m2-den-50m2</t>
  </si>
  <si>
    <t>Mặt bằng 4x12m mặt tiền Xô Viết Nghệ Tĩnh - 26 triệu/tháng</t>
  </si>
  <si>
    <t>48m² slightly above target; supporting context only.</t>
  </si>
  <si>
    <t>shared frontage</t>
  </si>
  <si>
    <t>Share mặt bằng góc mặt tiền 343 Nơ Trang Long, 30m² - 10 triệu/tháng</t>
  </si>
  <si>
    <t>https://www.nhatot.com/sang-nhuong-van-phong-mat-bang-kinh-doanh-quan-binh-thanh-tp-ho-chi-minh/131129126.htm</t>
  </si>
  <si>
    <t>Shared frontage; do not count as clean standalone storefront until verified.</t>
  </si>
  <si>
    <t>frontage commercial</t>
  </si>
  <si>
    <t>Mặt tiền Nơ Trang Long gần Phan Văn Trị, 40m² - 13 triệu/tháng</t>
  </si>
  <si>
    <t>https://www.nhatot.com/thue-van-phong-mat-bang-kinh-doanh-quan-binh-thanh-tp-ho-chi-minh/132207693.htm</t>
  </si>
  <si>
    <t>Standalone frontage commercial; current asking rent.</t>
  </si>
  <si>
    <t>Mặt bằng mặt tiền Nơ Trang Long 28,26m² - 10 triệu/tháng</t>
  </si>
  <si>
    <t>https://www.nhatot.com/thue-van-phong-mat-bang-kinh-doanh-quan-binh-thanh-tp-ho-chi-minh/131302338.htm</t>
  </si>
  <si>
    <t>Within 25-45m² target; current asking rent.</t>
  </si>
  <si>
    <t>commercial 100m from main road</t>
  </si>
  <si>
    <t>Mặt bằng spa 40m², hẻm 8m cách mặt tiền Kinh Dương Vương ~100m - 12,5 triệu/tháng</t>
  </si>
  <si>
    <t>https://www.nhatot.com/thue-van-phong-mat-bang-kinh-doanh-quan-binh-tan-tp-ho-chi-minh/135059506.htm</t>
  </si>
  <si>
    <t>Not direct frontage; useful near-corridor context, not clean frontage median.</t>
  </si>
  <si>
    <t>commercial space</t>
  </si>
  <si>
    <t>Mặt bằng kinh doanh đường Tên Lửa 40m² - 8 triệu/tháng</t>
  </si>
  <si>
    <t>https://www.nhatot.com/thue-van-phong-mat-bang-kinh-doanh-quan-binh-tan-tp-ho-chi-minh/132610838.htm</t>
  </si>
  <si>
    <t>corner frontage</t>
  </si>
  <si>
    <t>Căn góc mặt tiền khu Tên Lửa 4x10m - 15 triệu/tháng</t>
  </si>
  <si>
    <t>https://www.nhatot.com/thue-van-phong-mat-bang-kinh-doanh-quan-binh-tan-tp-ho-chi-minh/134454362.htm</t>
  </si>
  <si>
    <t>Current frontage asking rent.</t>
  </si>
  <si>
    <t>Mặt bằng góc 2 mặt tiền khu Tên Lửa 40m² - 10 triệu/tháng</t>
  </si>
  <si>
    <t>https://muaban.net/bat-dong-san/cho-thue-mat-bang-kinh-doanh-quan-binh-tan-ho-chi-minh/cho-thue-mbkd-goc-2-mat-tien-khu-ten-lua-id71223704</t>
  </si>
  <si>
    <t>Muaban.net</t>
  </si>
  <si>
    <t>Mặt bằng kinh doanh 964 Tân Kỳ Tân Quý, 40m² - 9 triệu/tháng</t>
  </si>
  <si>
    <t>https://www.nhatot.com/thue-van-phong-mat-bang-kinh-doanh-quan-binh-tan-tp-ho-chi-minh/134403184.htm</t>
  </si>
  <si>
    <t>Current commercial asking rent; hẻm lớn xe tải, not direct main-road frontage.</t>
  </si>
  <si>
    <t>commercial near corridor</t>
  </si>
  <si>
    <t>Mặt bằng mới 40m² sát Tân Kỳ Tân Quý - 8 triệu/tháng</t>
  </si>
  <si>
    <t>https://www.nhatot.com/thue-van-phong-mat-bang-kinh-doanh-quan-binh-tan-tp-ho-chi-minh/132860887.htm</t>
  </si>
  <si>
    <t>Near-corridor commercial unit; verify exact setback from main road.</t>
  </si>
  <si>
    <t>MBKD 40m² khu Tân Kỳ Tân Quý - 7 triệu/tháng</t>
  </si>
  <si>
    <t>https://www.nhatot.com/thue-van-phong-mat-bang-kinh-doanh-quan-binh-tan-tp-ho-chi-minh/133069638.htm</t>
  </si>
  <si>
    <t>Commercial unit; verify exact frontage class before site selection.</t>
  </si>
  <si>
    <t>Mặt bằng Nguyễn Ảnh Thủ, 3,8x10m ~40m² - 13 triệu/tháng</t>
  </si>
  <si>
    <t>https://www.nhatot.com/thue-van-phong-mat-bang-kinh-doanh-quan-12-tp-ho-chi-minh/134767148.htm</t>
  </si>
  <si>
    <t>commercial unit</t>
  </si>
  <si>
    <t>Mặt bằng kinh doanh khu dân cư Nam Long, Hà Huy Giáp, 35m² - 4,5 triệu/tháng</t>
  </si>
  <si>
    <t>https://www.nhatot.com/thue-van-phong-mat-bang-kinh-doanh-quan-12-tp-ho-chi-minh/133679684.htm</t>
  </si>
  <si>
    <t>Commercial unit; exact frontage/visibility needs verification.</t>
  </si>
  <si>
    <t>ground-floor kiosk</t>
  </si>
  <si>
    <t>Kiot chợ Nam Long đối diện bến xe Ngã Tư Ga, Hà Huy Giáp, 30m² - 5 triệu/tháng</t>
  </si>
  <si>
    <t>https://www.nhatot.com/thue-van-phong-mat-bang-kinh-doanh-quan-12-tp-ho-chi-minh-gia-duoi-10-trieu-sdpr1</t>
  </si>
  <si>
    <t>Kiosk commercial; verify frontage/parking and whether still available.</t>
  </si>
  <si>
    <t>upper-floor office</t>
  </si>
  <si>
    <t>NOT_GROUND_FLOOR_COMPARABLE</t>
  </si>
  <si>
    <t>Văn phòng 30m² tại 174 Hà Huy Giáp - 8 triệu/tháng</t>
  </si>
  <si>
    <t>https://www.nhatot.com/thue-van-phong-mat-bang-kinh-doanh-quan-12-tp-ho-chi-minh/134850615.htm</t>
  </si>
  <si>
    <t>Upper-floor office; exclude from Trạm storefront median.</t>
  </si>
  <si>
    <t>near-corridor frontage</t>
  </si>
  <si>
    <t>Nhà mặt tiền Thới An gần Lê Văn Khương, ~30m² footprint - 8 triệu/tháng</t>
  </si>
  <si>
    <t>https://www.nhatot.com/thue-van-phong-mat-bang-kinh-doanh-quan-12-tp-ho-chi-minh/132285177.htm</t>
  </si>
  <si>
    <t>Near corridor, not confirmed directly on Lê Văn Khương; supporting sample only.</t>
  </si>
  <si>
    <t>Mặt bằng mặt tiền Nơ Trang Long, 40m², phù hợp showroom/cửa hàng - 25 triệu/tháng</t>
  </si>
  <si>
    <t>https://guland.vn/post/cho-thue-mat-bang-mat-tien-no-trang-long-binh-thanh-tp-hcm-1973885</t>
  </si>
  <si>
    <t>Guland</t>
  </si>
  <si>
    <t>Current frontage asking rent; verify active status and usable floor.</t>
  </si>
  <si>
    <t>frontage whole house</t>
  </si>
  <si>
    <t>Homedy shows a 40m² ground-floor frontage house at 216 Đinh Bộ Lĩnh; price negotiable.</t>
  </si>
  <si>
    <t>https://homedy.com/cho-thue-nha-mat-pho-duong-dinh-bo-linh-quan-binh-thanh-tp-ho-chi-minh</t>
  </si>
  <si>
    <t>Homedy</t>
  </si>
  <si>
    <t>No numeric asking rent, so exclude from median.</t>
  </si>
  <si>
    <t>Mặt tiền Tô Ký 40m², WC riêng, kinh doanh đa ngành, vỉa hè để xe - 8 triệu/tháng</t>
  </si>
  <si>
    <t>https://muaban.net/bat-dong-san/cho-thue-mat-bang-kinh-doanh-quan-12-ho-chi-minh/cho-thue-mat-tien-duong-to-ky-40m2-wc-rieng-kinh-doanh-moi-nghe-id71211805</t>
  </si>
  <si>
    <t>Clean storefront-style asking rent within target area.</t>
  </si>
  <si>
    <t>213/8D Tô Ký, mặt bằng 4x10m, WC riêng - 9 triệu/tháng</t>
  </si>
  <si>
    <t>https://www.nhatot.com/thue-van-phong-mat-bang-kinh-doanh-quan-12-tp-ho-chi-minh/135092041.htm</t>
  </si>
  <si>
    <t>Verify direct frontage vs numbered alley notation.</t>
  </si>
  <si>
    <t>Aggregator mirrors Tô Ký 40m² - 8 triệu/tháng</t>
  </si>
  <si>
    <t>https://bds68.com.vn/thue-cua-hang-kiot?dientich=30-50&amp;gia=5-10&amp;phongngu%3D3+=</t>
  </si>
  <si>
    <t>BDS68 aggregation</t>
  </si>
  <si>
    <t>Likely duplicate of Muaban listing; do not count as clean independent sample.</t>
  </si>
  <si>
    <t>commercial near market</t>
  </si>
  <si>
    <t>Mặt bằng mới xây gần Chợ Hiệp Thành, Nguyễn Ảnh Thủ, 45m² - 3,8 triệu/tháng</t>
  </si>
  <si>
    <t>https://batdongsan.com.vn/cho-thue-sang-nhuong-cua-hang-ki-ot-duong-nguyen-anh-thu-phuong-thoi-an-1-64/cho-mat-bang-kinh-doanh-moi-xay-gia-re-ngay-cho-hiep-thanh-thu-pr46155172</t>
  </si>
  <si>
    <t>At upper bound of target; current commercial listing.</t>
  </si>
  <si>
    <t>commercial alley / truck-access</t>
  </si>
  <si>
    <t>Mặt bằng 30m² hẻm xe tải gần Chợ Hiệp Thành / Nguyễn Ảnh Thủ - 3,5 triệu/tháng</t>
  </si>
  <si>
    <t>https://muaban.net/bat-dong-san/cho-thue-mat-bang-kinh-doanh-quan-12-ho-chi-minh/mat-bang-kinh-doanh-hem-xe-tai-sieu-rong-gac-gan-cho-hiep-thanh-nat-id71143719</t>
  </si>
  <si>
    <t>Not direct frontage; supporting only.</t>
  </si>
  <si>
    <t>503A Lê Văn Khương, mặt bằng mặt tiền 40m², WC riêng, chỗ đậu xe máy - 2 triệu/tháng</t>
  </si>
  <si>
    <t>https://www.nhatot.com/thue-van-phong-mat-bang-kinh-doanh-quan-12-tp-ho-chi-minh/135063672.htm</t>
  </si>
  <si>
    <t>Very low asking rent; verify conditions/outlier status on-site.</t>
  </si>
  <si>
    <t>frontage office/commercial</t>
  </si>
  <si>
    <t>Tòa nhà mặt tiền Hà Huy Giáp gần Nguyễn Oanh, 40m² - 6 triệu/tháng</t>
  </si>
  <si>
    <t>https://batdongsan.com.vn/nha-dat-cho-thue-duong-ha-huy-giap-64/gia-tu-5-trieu-den-10-trieu</t>
  </si>
  <si>
    <t>Office use; verify ground-floor storefront suitability before median.</t>
  </si>
  <si>
    <t>Mặt bằng mới xây Xô Viết Nghệ Tĩnh, ~30m², WC riêng - 7 triệu/tháng</t>
  </si>
  <si>
    <t>https://www.nhatot.com/thue-van-phong-mat-bang-kinh-doanh-quan-binh-thanh-tp-ho-chi-minh/134795425.htm</t>
  </si>
  <si>
    <t>Current commercial asking rent; verify exact ground-floor frontage visibility.</t>
  </si>
  <si>
    <t>Mặt bằng kinh doanh Xô Viết Nghệ Tĩnh, khoảng 30m² - 10 triệu/tháng</t>
  </si>
  <si>
    <t>https://www.nhatot.com/thue-van-phong-mat-bang-kinh-doanh-quan-binh-thanh-tp-ho-chi-minh/132353117.htm</t>
  </si>
  <si>
    <t>commercial near intersection</t>
  </si>
  <si>
    <t>Mặt bằng kinh doanh hẻm Đinh Bộ Lĩnh, góc Nguyễn Xí - Đinh Bộ Lĩnh, 30m² - 15 triệu/tháng</t>
  </si>
  <si>
    <t>2026-05-08</t>
  </si>
  <si>
    <t>https://chothuenha.com.vn/cho-thue-mat-bang-kinh-doanh-hem-dinh-bo-linh-goc-nga-tu-nguyen-xi-dinh-bo-linh-74048</t>
  </si>
  <si>
    <t>ChoThueNha.com.vn</t>
  </si>
  <si>
    <t>Current 2026 commercial listing; not direct main-road frontage, but at key intersection.</t>
  </si>
  <si>
    <t>43 Nguyễn Xí, mặt tiền riêng biệt, 30m² - 9 triệu/tháng</t>
  </si>
  <si>
    <t>https://www.nhatot.com/thue-van-phong-mat-bang-kinh-doanh-quan-binh-thanh-tp-ho-chi-minh/135176302.htm</t>
  </si>
  <si>
    <t>Direct frontage current asking rent; within Trạm target area.</t>
  </si>
  <si>
    <t>business-transfer rent</t>
  </si>
  <si>
    <t>Quán ToCoToCo 129 Nguyễn Xí, 35m², rent component 18 triệu/tháng</t>
  </si>
  <si>
    <t>https://www.nhatot.com/thue-van-phong-mat-bang-kinh-doanh-quan-binh-thanh-tp-ho-chi-minh/133421226.htm</t>
  </si>
  <si>
    <t>Transfer listing includes operating business; use only as supporting rent context.</t>
  </si>
  <si>
    <t>Mặt tiền Nguyễn Xí 60m², vỉa hè rộng - 16 triệu/tháng</t>
  </si>
  <si>
    <t>https://www.nhatot.com/thue-van-phong-mat-bang-kinh-doanh-quan-binh-thanh-tp-ho-chi-minh/135101717.htm</t>
  </si>
  <si>
    <t>Above 45m²; supporting context only.</t>
  </si>
  <si>
    <t>near-corridor commercial</t>
  </si>
  <si>
    <t>Mặt bằng 30m² ngay Sinco - giao Kinh Dương Vương, 7 triệu/tháng</t>
  </si>
  <si>
    <t>https://www.nhatot.com/thue-van-phong-mat-bang-kinh-doanh-quan-binh-tan-tp-ho-chi-minh/135323333.htm</t>
  </si>
  <si>
    <t>Near/intersection corridor rather than confirmed direct Kinh Dương Vương frontage.</t>
  </si>
  <si>
    <t>commercial kiosk</t>
  </si>
  <si>
    <t>BELOW_TARGET_AREA</t>
  </si>
  <si>
    <t>Kiot kinh doanh gần vòng xoay An Lạc trên Lê Đức Anh, 22m² - 3,9 triệu/tháng</t>
  </si>
  <si>
    <t>https://www.nhatot.com/thue-van-phong-mat-bang-kinh-doanh-quan-binh-tan-tp-ho-chi-minh/135303876.htm</t>
  </si>
  <si>
    <t>Below 25m² target; supporting evidence only.</t>
  </si>
  <si>
    <t>commercial alley</t>
  </si>
  <si>
    <t>Mặt bằng kinh doanh hẻm Lê Đức Anh 60m² - 8 triệu/tháng</t>
  </si>
  <si>
    <t>https://www.nhatot.com/thue-van-phong-mat-bang-kinh-doanh-quan-binh-tan-tp-ho-chi-minh/135303973.htm</t>
  </si>
  <si>
    <t>Above target area and not direct frontage.</t>
  </si>
  <si>
    <t>Mặt bằng kinh doanh đường thông Hà Huy Giáp, 60m² - 5 triệu/tháng</t>
  </si>
  <si>
    <t>https://www.nhatot.com/thue-van-phong-mat-bang-kinh-doanh-quan-12-tp-ho-chi-minh/135306776.htm</t>
  </si>
  <si>
    <t>Above 45m² target; supporting context only.</t>
  </si>
  <si>
    <t>proxy_type</t>
  </si>
  <si>
    <t>segment</t>
  </si>
  <si>
    <t>official_value_million_vnd_m2</t>
  </si>
  <si>
    <t>effective_period</t>
  </si>
  <si>
    <t>interpretation</t>
  </si>
  <si>
    <t>OFFICIAL_RESIDENTIAL_LAND_PRICE</t>
  </si>
  <si>
    <t>Phan Đăng Lưu → Lê Quang Định</t>
  </si>
  <si>
    <t>2024 table / effective to 2025-12-31</t>
  </si>
  <si>
    <t>https://congbao.hochiminhcity.gov.vn/cong-bao/van-ban/quyet-dinh/so/79-2024-qd-ubnd/ngay/21-10-2024/tai-ve/47004?cbid=47105</t>
  </si>
  <si>
    <t>Official road-level property-value context.</t>
  </si>
  <si>
    <t>Expired table; not rent and not current transaction price.</t>
  </si>
  <si>
    <t>Lê Quang Định → Nguyễn Xí</t>
  </si>
  <si>
    <t>Road-level property-value context.</t>
  </si>
  <si>
    <t>Expired table; not rent.</t>
  </si>
  <si>
    <t>Nguyễn Xí → Bình Lợi</t>
  </si>
  <si>
    <t>Mũi Tàu → Cầu An Lạc</t>
  </si>
  <si>
    <t>https://congbao.hochiminhcity.gov.vn/cong-bao/van-ban/quyet-dinh/so/79-2024-qd-ubnd/ngay/21-10-2024/tai-ve/47004?cbid=47106</t>
  </si>
  <si>
    <t>Cầu An Lạc → Vòng xoay An Lạc</t>
  </si>
  <si>
    <t>QL1: giáp Bình Tân → Ngã Tư Ga</t>
  </si>
  <si>
    <t>https://congbao.hochiminhcity.gov.vn/DKC.MFiles.CB/Gazette/DownLoadFileResult/47103</t>
  </si>
  <si>
    <t>Source uses old QL1 name; not rent.</t>
  </si>
  <si>
    <t>QL1: Ngã Tư Ga → Cầu Bình Phước</t>
  </si>
  <si>
    <t>Not rent.</t>
  </si>
  <si>
    <t>Cầu Chợ Cầu → QL1A</t>
  </si>
  <si>
    <t>Cầu vượt Quang Trung → Ngã 3 Bầu</t>
  </si>
  <si>
    <t>Lê Văn Khương → Tô Ký</t>
  </si>
  <si>
    <t>Tô Ký → QL22</t>
  </si>
  <si>
    <t>traffic_source_count</t>
  </si>
  <si>
    <t>context_anchor_rows</t>
  </si>
  <si>
    <t>context_categories</t>
  </si>
  <si>
    <t>context_source_count</t>
  </si>
  <si>
    <t>rent_evidence_rows</t>
  </si>
  <si>
    <t>usable_or_potential_rent_samples</t>
  </si>
  <si>
    <t>official_property_proxy_rows</t>
  </si>
  <si>
    <t>total_distinct_sources_across_layers</t>
  </si>
  <si>
    <t>deep_dive_readiness</t>
  </si>
  <si>
    <t>main_remaining_gap</t>
  </si>
  <si>
    <t>RESEARCHED_BUT_RENT_NOT_READY</t>
  </si>
  <si>
    <t>need &gt;=3 clean current commercial-usable rent samples; no official road-property proxy captured</t>
  </si>
  <si>
    <t>No score. Evidence counts measure source coverage only; they do not rank corridor attractiveness.</t>
  </si>
  <si>
    <t>COMMERCIAL_ANCHOR | PRIORITY_ROAD</t>
  </si>
  <si>
    <t>READY_FOR_RENT_MEDIAN</t>
  </si>
  <si>
    <t>EDUCATION_CATCHMENT | PRIORITY_ROAD</t>
  </si>
  <si>
    <t>HEALTHCARE_ANCHOR | PRIORITY_ROAD</t>
  </si>
  <si>
    <t>need &gt;=3 clean current commercial-usable rent samples</t>
  </si>
  <si>
    <t>COMMERCIAL_PLANNING | PRIORITY_ROAD</t>
  </si>
  <si>
    <t>COMMERCIAL_ANCHOR | PARKING_CAPACITY</t>
  </si>
  <si>
    <t>INDUSTRIAL_CATCHMENT | INDUSTRIAL_PROFILE</t>
  </si>
  <si>
    <t>PLANNING_SCALE | PRIORITY_ROAD</t>
  </si>
  <si>
    <t>EDUCATION_ANCHOR | PRIORITY_ROAD | TECH_EMPLOYMENT_ANCHOR</t>
  </si>
  <si>
    <t>clean_current_usable_n</t>
  </si>
  <si>
    <t>clean_rent_values_million_month</t>
  </si>
  <si>
    <t>median_rent_million_month</t>
  </si>
  <si>
    <t>min_rent</t>
  </si>
  <si>
    <t>max_rent</t>
  </si>
  <si>
    <t>potential_supporting_n</t>
  </si>
  <si>
    <t>all_rent_evidence_rows</t>
  </si>
  <si>
    <t>distinct_listing_domains</t>
  </si>
  <si>
    <t>rent_readiness</t>
  </si>
  <si>
    <t>target_rent_15_20m_context</t>
  </si>
  <si>
    <t>15 | 7 | 10</t>
  </si>
  <si>
    <t>READY_MEDIAN_N_GE_3</t>
  </si>
  <si>
    <t>MEDIAN_BELOW_TARGET_15_20M</t>
  </si>
  <si>
    <t>Median uses only current commercial-usable 25–45m² samples. Potential/shared/residential/office-only/aggregator-duplicate/below-or-above-target samples are excluded or flagged.</t>
  </si>
  <si>
    <t>11 | 10 | 10</t>
  </si>
  <si>
    <t>10 | 20 | 15</t>
  </si>
  <si>
    <t>MEDIAN_WITHIN_TARGET_15_20M</t>
  </si>
  <si>
    <t>9</t>
  </si>
  <si>
    <t>NOT_READY_N_LT_3</t>
  </si>
  <si>
    <t>13 | 10 | 25</t>
  </si>
  <si>
    <t>NO_CLEAN_MEDIAN</t>
  </si>
  <si>
    <t>8 | 15 | 10</t>
  </si>
  <si>
    <t>9 | 8 | 7</t>
  </si>
  <si>
    <t>2</t>
  </si>
  <si>
    <t>13 | 3.8</t>
  </si>
  <si>
    <t>8 | 9</t>
  </si>
  <si>
    <t>context_types</t>
  </si>
  <si>
    <t>clean_rent_n</t>
  </si>
  <si>
    <t>rent_median_million</t>
  </si>
  <si>
    <t>research_completeness</t>
  </si>
  <si>
    <t>remaining_priority_gap</t>
  </si>
  <si>
    <t>important_note</t>
  </si>
  <si>
    <t>PRIORITY_ROAD | PUBLIC_TRANSPORT_CONNECTIVITY</t>
  </si>
  <si>
    <t>No major evidence gap for corridor-level comparison.</t>
  </si>
  <si>
    <t>Completeness is evidence readiness, NOT attractiveness score.</t>
  </si>
  <si>
    <t>COMMERCIAL_ANCHOR | PRIORITY_ROAD | PUBLIC_TRANSPORT_CONNECTIVITY</t>
  </si>
  <si>
    <t>EDUCATION_CATCHMENT | PRIORITY_ROAD | PUBLIC_TRANSPORT_CONNECTIVITY</t>
  </si>
  <si>
    <t>EDUCATION_CATCHMENT | GATEWAY_DIVERSION | PRIORITY_ROAD | PUBLIC_TRANSPORT_CONNECTIVITY</t>
  </si>
  <si>
    <t>clean commercial rent samples</t>
  </si>
  <si>
    <t>COMMERCIAL_PLANNING | PRIORITY_ROAD | TRANSPORT_HUB | TRANSPORT_NETWORK</t>
  </si>
  <si>
    <t>GATEWAY_DIVERSION | PRIORITY_ROAD</t>
  </si>
  <si>
    <t>COMMERCIAL_ANCHOR | PARKING_CAPACITY | PUBLIC_TRANSPORT_CONNECTIVITY</t>
  </si>
  <si>
    <t>HEALTHCARE_ANCHOR | RESIDENTIAL_DEVELOPMENT</t>
  </si>
  <si>
    <t>INDUSTRIAL_CATCHMENT | PLANNING_SCALE | PRIORITY_ROAD</t>
  </si>
  <si>
    <t>INDUSTRIAL_CATCHMENT | PLANNING_SCALE | PRIORITY_ROAD | RETAIL_ANCHOR</t>
  </si>
  <si>
    <t>EDUCATION_ANCHOR | PRIORITY_ROAD | PUBLIC_TRANSPORT_CONNECTIVITY | RETAIL_ANCHOR | TECH_EMPLOYMENT_ANCHOR</t>
  </si>
  <si>
    <t>EDUCATION_ANCHOR | EDUCATION_SCALE | PRIORITY_ROAD</t>
  </si>
  <si>
    <t>factor_group</t>
  </si>
  <si>
    <t>value</t>
  </si>
  <si>
    <t>unit</t>
  </si>
  <si>
    <t>reference_period</t>
  </si>
  <si>
    <t>score_eligible</t>
  </si>
  <si>
    <t>comparability</t>
  </si>
  <si>
    <t>HCMC 15 areas</t>
  </si>
  <si>
    <t>Business fit</t>
  </si>
  <si>
    <t>Acting enterprises by district</t>
  </si>
  <si>
    <t>enterprise</t>
  </si>
  <si>
    <t>2022</t>
  </si>
  <si>
    <t>Official statistical yearbook</t>
  </si>
  <si>
    <t>YES_BASE_EXISTING</t>
  </si>
  <si>
    <t>HIGH_WITHIN_HCMC</t>
  </si>
  <si>
    <t>Validates the comparable enterprise-count series already stored in 09_District_Opportunity_Base.</t>
  </si>
  <si>
    <t>Do not compare enterprise count directly with demand; use as business-activity proxy.</t>
  </si>
  <si>
    <t>Quận 1 / Quận 3 / Tân Bình / Phú Nhuận</t>
  </si>
  <si>
    <t>ITS / green-wave managed trunk corridors</t>
  </si>
  <si>
    <t>Võ Thị Sáu; Điện Biên Phủ; Nam Kỳ Khởi Nghĩa–Nguyễn Văn Trỗi; Pasteur; Trương Định</t>
  </si>
  <si>
    <t>corridor list</t>
  </si>
  <si>
    <t>official ITS context</t>
  </si>
  <si>
    <t>https://ttbc-hcm.gov.vn/tp-hcm-xay-dung-mo-hinh-quan-ly-giao-thong-thong-minh-1013776.html</t>
  </si>
  <si>
    <t>HCMC Press Center / traffic-management source</t>
  </si>
  <si>
    <t>OFFICIAL_HCMC_TRAFFIC</t>
  </si>
  <si>
    <t>NO_CONTEXT_ONLY</t>
  </si>
  <si>
    <t>QUALITATIVE_CROSS_AREA</t>
  </si>
  <si>
    <t>Confirms several central corridors are important enough for adaptive signal management.</t>
  </si>
  <si>
    <t>Not AADT and not a traffic-volume score.</t>
  </si>
  <si>
    <t>Nguyễn Tất Thành congestion / widening signal</t>
  </si>
  <si>
    <t>Key congested artery; widening approved for study</t>
  </si>
  <si>
    <t>2025-12</t>
  </si>
  <si>
    <t>https://ttbc-hcm.gov.vn/tp-hcm-thong-nhat-mo-rong-duong-nguyen-tat-thanh-xay-moi-cau-tan-thuan-1-1020131.html</t>
  </si>
  <si>
    <t>HCMC Press Center</t>
  </si>
  <si>
    <t>QUALITATIVE</t>
  </si>
  <si>
    <t>Strengthens current traffic-role evidence for old District 4.</t>
  </si>
  <si>
    <t>Congestion evidence does not prove customer demand.</t>
  </si>
  <si>
    <t>people</t>
  </si>
  <si>
    <t>https://www.scribd.com/document/1004884736/quy-ho%E1%BA%A1ch-d%C4%A9-an</t>
  </si>
  <si>
    <t>Official planning content on secondary host</t>
  </si>
  <si>
    <t>OFFICIAL_CONTENT_SECONDARY_HOST</t>
  </si>
  <si>
    <t>YES_AFTER_SOURCE_GUARDRAIL</t>
  </si>
  <si>
    <t>MEDIUM_HIGH</t>
  </si>
  <si>
    <t>Updates the older 506,481 population used in workbook.</t>
  </si>
  <si>
    <t>Verify official-host planning document before locking final score.</t>
  </si>
  <si>
    <t>Population density</t>
  </si>
  <si>
    <t>people/km²</t>
  </si>
  <si>
    <t>Comparable city-density indicator.</t>
  </si>
  <si>
    <t>Same source-host guardrail as population.</t>
  </si>
  <si>
    <t>Acting enterprises</t>
  </si>
  <si>
    <t>https://www.scribd.com/document/862951706/Sach-NG-Binh-Duong-2023-in-sd-Key-11112024111507</t>
  </si>
  <si>
    <t>Binh Duong Statistical Yearbook copy</t>
  </si>
  <si>
    <t>OFFICIAL_YEARBOOK_COPY_SECONDARY_HOST</t>
  </si>
  <si>
    <t>HIGH_DEFINITION_MATCH_EXPECTED</t>
  </si>
  <si>
    <t>Fills a core business-activity gap.</t>
  </si>
  <si>
    <t>Verify official-host yearbook copy before final score lock.</t>
  </si>
  <si>
    <t>Enterprise turnover</t>
  </si>
  <si>
    <t>billion VND</t>
  </si>
  <si>
    <t>VERIFY_CROSS_PROVINCE_DEFINITION</t>
  </si>
  <si>
    <t>Fills a core economic-activity gap.</t>
  </si>
  <si>
    <t>Cross-province definition/table structure should be checked against HCMC yearbook before scoring.</t>
  </si>
  <si>
    <t>Average employee compensation</t>
  </si>
  <si>
    <t>million VND/month</t>
  </si>
  <si>
    <t>Adds a purchasing-power/business-context proxy.</t>
  </si>
  <si>
    <t>Employee compensation is not household income.</t>
  </si>
  <si>
    <t>Temporary-population share</t>
  </si>
  <si>
    <t>percent</t>
  </si>
  <si>
    <t>LOCAL_ONLY</t>
  </si>
  <si>
    <t>Shows a large mobile/worker population component relevant to device-service catchment.</t>
  </si>
  <si>
    <t>Do not mix with permanent population or score as income.</t>
  </si>
  <si>
    <t>Mỹ Phước–Tân Vạn network role</t>
  </si>
  <si>
    <t>64 km; 6–10 lanes; passes Dĩ An and Thủ Dầu Một</t>
  </si>
  <si>
    <t>infrastructure</t>
  </si>
  <si>
    <t>2025 plan / 2025–2027 implementation</t>
  </si>
  <si>
    <t>https://www.binhduong.gov.vn/chinh-quyen-tin-chi-dao-dieu-hanh/2020/02</t>
  </si>
  <si>
    <t>Binh Duong official portal</t>
  </si>
  <si>
    <t>OFFICIAL_PROVINCIAL</t>
  </si>
  <si>
    <t>NO_DIRECT_VOLUME</t>
  </si>
  <si>
    <t>QUALITATIVE_NETWORK</t>
  </si>
  <si>
    <t>Strong regional logistics/accessibility evidence.</t>
  </si>
  <si>
    <t>Road scale is not traffic volume.</t>
  </si>
  <si>
    <t>Local transport infrastructure</t>
  </si>
  <si>
    <t>Mỹ Phước–Tân Vạn segment ~11.2 km; North–South rail ~8.97 km; Sóng Thần yard ~20 ha / &gt;350 wagons</t>
  </si>
  <si>
    <t>2024 planning report</t>
  </si>
  <si>
    <t>Dĩ An official planning report</t>
  </si>
  <si>
    <t>Strengthens gateway/logistics role and worker/employment catchment context.</t>
  </si>
  <si>
    <t>Infrastructure scale does not equal customer demand.</t>
  </si>
  <si>
    <t>Urban/economic development</t>
  </si>
  <si>
    <t>2023 population &gt;500k; industrial output ~70x 1999; 100% city-managed roads asphalted with sidewalks/lighting</t>
  </si>
  <si>
    <t>context</t>
  </si>
  <si>
    <t>2023 status</t>
  </si>
  <si>
    <t>https://dian.binhduong.gov.vn/tin-tuc/chinh-tri/tp-di-an-ky-niem-1-4-the-ky-khat-vong-xay-dung-va-phat-trien-va-don-nhan-huan-chuong-lao-dong-hang-nhat-cua-chu-tich-nuo.html</t>
  </si>
  <si>
    <t>Dĩ An official portal</t>
  </si>
  <si>
    <t>Supports mature urban/service environment.</t>
  </si>
  <si>
    <t>Growth multiples are historical context, not cross-area score inputs.</t>
  </si>
  <si>
    <t>Replaces the older 2021 population currently in workbook.</t>
  </si>
  <si>
    <t>Verify official-host planning document before final score lock.</t>
  </si>
  <si>
    <t>Updates density to same 2023 reference used for Dĩ An.</t>
  </si>
  <si>
    <t>Fills business-activity gap.</t>
  </si>
  <si>
    <t>Fills economic-activity gap.</t>
  </si>
  <si>
    <t>Check cross-province definition before scoring.</t>
  </si>
  <si>
    <t>Adds employee purchasing-power/business proxy.</t>
  </si>
  <si>
    <t>Not household income.</t>
  </si>
  <si>
    <t>Retail sales</t>
  </si>
  <si>
    <t>https://thudaumot.binhduong.gov.vn/chi-tiet?id=ART241200000053</t>
  </si>
  <si>
    <t>Thủ Dầu Một official portal</t>
  </si>
  <si>
    <t>NOT_SAME_METRIC_AS_ENTERPRISE_TURNOVER</t>
  </si>
  <si>
    <t>Confirms strong recent commerce activity.</t>
  </si>
  <si>
    <t>Do not combine numerically with enterprise turnover.</t>
  </si>
  <si>
    <t>Industrial production value</t>
  </si>
  <si>
    <t>Adds current employment/economic-base context.</t>
  </si>
  <si>
    <t>Not directly comparable to HCMC enterprise turnover.</t>
  </si>
  <si>
    <t>64 km; 6–10 lanes; passes Thủ Dầu Một</t>
  </si>
  <si>
    <t>Strong regional access/logistics evidence.</t>
  </si>
  <si>
    <t>https://vungtau.baria-vungtau.gov.vn/vtrss/-/asset_publisher/ylT2hK5dQZZi/content/n%25C3%25A2ng-cao-ch%25E1%25BA%25A5t-l%25C6%25B0%25E1%25BB%25A3ng-d%25C3%25A2n-s%25E1%25BB%2591-%25C4%2591%25E1%25BB%2583-%25C4%2591%25E1%25BA%25A5t-n%25C6%25B0%25E1%25BB%259Bc-ph%25E1%25BB%2593n-vinh-gia-%25C4%2591%25C3%25ACnh-h%25E1%25BA%25A1nh-ph%25C3%25BAc</t>
  </si>
  <si>
    <t>Vũng Tàu official portal</t>
  </si>
  <si>
    <t>YES_POPULATION_ONLY</t>
  </si>
  <si>
    <t>YEAR_MISMATCH_VS_HCMC_2023</t>
  </si>
  <si>
    <t>Confirms workbook population value from official city source.</t>
  </si>
  <si>
    <t>Reference year differs from HCMC 2023 series.</t>
  </si>
  <si>
    <t>Registered cars</t>
  </si>
  <si>
    <t>vehicles</t>
  </si>
  <si>
    <t>Hard evidence of high motorization/activity.</t>
  </si>
  <si>
    <t>Registered vehicles are not road traffic volume.</t>
  </si>
  <si>
    <t>Registered motorbikes</t>
  </si>
  <si>
    <t>Hard evidence of urban mobility scale.</t>
  </si>
  <si>
    <t>Registered vehicles are not AADT.</t>
  </si>
  <si>
    <t>Road/transport network</t>
  </si>
  <si>
    <t>271 roads / 227 km; 23 seaports; 8 inland ports; ~183 transport operators / 800 vehicles</t>
  </si>
  <si>
    <t>network</t>
  </si>
  <si>
    <t>Strong transport and employment-network context.</t>
  </si>
  <si>
    <t>Do not convert infrastructure counts to demand score.</t>
  </si>
  <si>
    <t>Visitor load</t>
  </si>
  <si>
    <t>6–7 million visitors/year</t>
  </si>
  <si>
    <t>visitors/year</t>
  </si>
  <si>
    <t>reported 2024 context</t>
  </si>
  <si>
    <t>LOCAL_TOURISM_ONLY</t>
  </si>
  <si>
    <t>Important non-resident demand context.</t>
  </si>
  <si>
    <t>Visitors are not unique local customers and may be seasonal.</t>
  </si>
  <si>
    <t>Q1 2025</t>
  </si>
  <si>
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</si>
  <si>
    <t>PERIOD_NOT_COMPARABLE</t>
  </si>
  <si>
    <t>Recent commerce signal.</t>
  </si>
  <si>
    <t>Quarterly city retail cannot be compared directly with 2022 enterprise turnover.</t>
  </si>
  <si>
    <t>Accommodation + food revenue</t>
  </si>
  <si>
    <t>TOURISM_CONTEXT</t>
  </si>
  <si>
    <t>Supports service/tourism intensity.</t>
  </si>
  <si>
    <t>Not a direct proxy for repair demand.</t>
  </si>
  <si>
    <t>Adds employment/economic-base context.</t>
  </si>
  <si>
    <t>Do not mix with annual enterprise turnover.</t>
  </si>
  <si>
    <t>QL51 intelligent traffic monitoring</t>
  </si>
  <si>
    <t>Automated camera / ITS deployed on QL51</t>
  </si>
  <si>
    <t>traffic-management system</t>
  </si>
  <si>
    <t>operating since 2021; reviewed after &gt;2 years</t>
  </si>
  <si>
    <t>https://congan.baria-vungtau.gov.vn/en/chi-tiet-tin-tuc?Id=31</t>
  </si>
  <si>
    <t>Bà Rịa–Vũng Tàu Police</t>
  </si>
  <si>
    <t>Confirms QL51 is a major actively managed corridor serving Bà Rịa.</t>
  </si>
  <si>
    <t>ITS presence does not measure traffic volume.</t>
  </si>
  <si>
    <t>Provincial retail/service context</t>
  </si>
  <si>
    <t>2025 retail target 85,746 bn; +13.52%; network includes 79 markets, 5 malls, 13 supermarkets, 160 convenience-chain stores</t>
  </si>
  <si>
    <t>province context</t>
  </si>
  <si>
    <t>2025 plan</t>
  </si>
  <si>
    <t>https://dulieuphapluat.vn/van-ban/thuong-mai-van-ban/ke-hoach-68kh-ubnd-thuc-hien-chuong-trinh-hanh-dong-43-ctrtu-thuc-hien-ket-luan-123-kltw-ve-de-an-bo-sung-va-phat-trien-kinh-te-xa-hoi-nam-2025-voi-muc-tieu-tang-truong-8-tro-len-do-tinh-ba-ria-vung-tau-ban-hanh-1216401.html</t>
  </si>
  <si>
    <t>Provincial plan text via legal-document host</t>
  </si>
  <si>
    <t>OFFICIAL_TEXT_SECONDARY_HOST</t>
  </si>
  <si>
    <t>PROVINCE_NOT_CITY</t>
  </si>
  <si>
    <t>Supports broader purchasing/commercial environment around Bà Rịa/Vũng Tàu.</t>
  </si>
  <si>
    <t>Province-level context cannot be assigned as city-level value.</t>
  </si>
  <si>
    <t>Population/density evidence gap</t>
  </si>
  <si>
    <t>Current workbook population 108,701; comparable current official city density not verified in this pass</t>
  </si>
  <si>
    <t>current audit</t>
  </si>
  <si>
    <t>Research audit</t>
  </si>
  <si>
    <t>DATA_GAP</t>
  </si>
  <si>
    <t>NOT_READY</t>
  </si>
  <si>
    <t>Population value retained; density remains blank for scoring until official city-level source is verified.</t>
  </si>
  <si>
    <t>Do not infer density from inconsistent historical area/population sources.</t>
  </si>
  <si>
    <t>Economic comparability gap</t>
  </si>
  <si>
    <t>No same-definition 2022 city enterprise count/turnover/employee-compensation series verified in this pass</t>
  </si>
  <si>
    <t>Keep business-economic submetrics missing rather than fill with provincial data.</t>
  </si>
  <si>
    <t>Missing ≠ zero; province figures must not be imputed to city.</t>
  </si>
  <si>
    <t>Purchasing-power proxy gap</t>
  </si>
  <si>
    <t>No comparable apartment/PP proxy verified</t>
  </si>
  <si>
    <t>Keep PP missing.</t>
  </si>
  <si>
    <t>Missing ≠ zero.</t>
  </si>
  <si>
    <t>ALL 19</t>
  </si>
  <si>
    <t>Method</t>
  </si>
  <si>
    <t>Scoring input rule</t>
  </si>
  <si>
    <t>Use only like-for-like metrics marked score_eligible=YES/YES_AFTER_SOURCE_GUARDRAIL</t>
  </si>
  <si>
    <t>Top5 preparation</t>
  </si>
  <si>
    <t>PROJECT_RULE</t>
  </si>
  <si>
    <t>METHOD</t>
  </si>
  <si>
    <t>ALL_AREAS</t>
  </si>
  <si>
    <t>Prevents context-only metrics from overpowering comparable core data.</t>
  </si>
  <si>
    <t>Traffic evidence count ≠ traffic volume; PP ≠ income; missing ≠ zero.</t>
  </si>
  <si>
    <t>Three boss-requested groups</t>
  </si>
  <si>
    <t>1) iCare presence/white-space; 2) competitor/market; 3) business fit</t>
  </si>
  <si>
    <t>Research is organized to support the requested Top-5 scoring structure.</t>
  </si>
  <si>
    <t>Final weights/aggregation formula should be explicit and sensitivity-checked.</t>
  </si>
  <si>
    <t>icare_coverage_ready</t>
  </si>
  <si>
    <t>competitor_market_ready</t>
  </si>
  <si>
    <t>population_ready</t>
  </si>
  <si>
    <t>density_ready</t>
  </si>
  <si>
    <t>enterprise_ready</t>
  </si>
  <si>
    <t>turnover_ready</t>
  </si>
  <si>
    <t>employee_comp_ready</t>
  </si>
  <si>
    <t>traffic_ready</t>
  </si>
  <si>
    <t>pp_ready</t>
  </si>
  <si>
    <t>group1_icare_ready</t>
  </si>
  <si>
    <t>group2_market_ready</t>
  </si>
  <si>
    <t>group3_business_ready</t>
  </si>
  <si>
    <t>score_readiness</t>
  </si>
  <si>
    <t>core_ready_count</t>
  </si>
  <si>
    <t>core_metric_count</t>
  </si>
  <si>
    <t>core_completeness_pct</t>
  </si>
  <si>
    <t>remaining_gap</t>
  </si>
  <si>
    <t>next_action</t>
  </si>
  <si>
    <t>YES_CAUTION</t>
  </si>
  <si>
    <t>READY</t>
  </si>
  <si>
    <t>CORE_READY_FOR_TOP5_SCORING</t>
  </si>
  <si>
    <t>No major core-data gap; traffic remains evidence-breadth rather than common volume.</t>
  </si>
  <si>
    <t>Proceed to score construction with explicit metric normalization and group weights.</t>
  </si>
  <si>
    <t>YES_GUARDRAIL</t>
  </si>
  <si>
    <t>READY_WITH_SOURCE_AND_CROSS_PROVINCE_GUARDRAIL</t>
  </si>
  <si>
    <t>Core metrics filled; final scoring still needs official-host yearbook verification and definition alignment with HCMC.</t>
  </si>
  <si>
    <t>Verify official-host copy / table definitions, then include in Top5 score sensitivity run.</t>
  </si>
  <si>
    <t>DATA_LIMITED</t>
  </si>
  <si>
    <t>PARTIAL_CONTEXT_STRONG_ECONOMIC_COMPARABILITY_GAP</t>
  </si>
  <si>
    <t>City-level same-definition 2022 enterprise count/turnover/employee compensation not verified; density also not locked.</t>
  </si>
  <si>
    <t>Keep comparable core missing; use official 2024–2025 city retail/vehicle/tourism evidence as context, not score input.</t>
  </si>
  <si>
    <t>DATA_LIMITED_BUSINESS_METRICS</t>
  </si>
  <si>
    <t>Density, same-definition enterprise metrics, employee compensation and PP proxy remain unverified/missing.</t>
  </si>
  <si>
    <t>Target official city statistical/economic tables; do not fill gaps with provincial values.</t>
  </si>
  <si>
    <t>YES_DIRECT_ICARE_PRESENT</t>
  </si>
  <si>
    <t>READY_DIRECT_ICARE_PRESENT</t>
  </si>
  <si>
    <t>Direct iCare presence is known; competitor-based nearest-iCare white-space metric is not defined because observed competitor count is zero.</t>
  </si>
  <si>
    <t>Keep in scoring with direct-iCare-presence penalty/guardrail; do not treat missing competitor-distance metric as zero distance.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</si>
</sst>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#,##0.000"/>
    <numFmt numFmtId="166" formatCode="0.0%"/>
  </numFmts>
  <fonts count="2">
    <font>
      <sz val="11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2">
    <dxf>
      <font>
        <b/>
        <color rgb="FF375623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D1" workbookViewId="0">
      <pane ySplit="1" topLeftCell="A8" activePane="bottomLeft" state="frozen"/>
      <selection pane="bottomLeft"/>
    </sheetView>
  </sheetViews>
  <sheetFormatPr defaultRowHeight="14"/>
  <cols>
    <col min="1" max="1" width="16" customWidth="1"/>
    <col min="2" max="2" width="44" customWidth="1"/>
    <col min="3" max="3" width="22" customWidth="1"/>
    <col min="4" max="4" width="14" customWidth="1"/>
    <col min="5" max="5" width="16" customWidth="1"/>
    <col min="6" max="6" width="18" customWidth="1"/>
    <col min="7" max="7" width="14" customWidth="1"/>
    <col min="8" max="8" width="48" customWidth="1"/>
    <col min="9" max="9" width="28" customWidth="1"/>
    <col min="10" max="10" width="52" customWidth="1"/>
  </cols>
  <sheetData>
    <row r="1" spans="1:10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>
      <c r="A2" s="2" t="s">
        <v>10</v>
      </c>
      <c r="B2" s="2" t="s">
        <v>11</v>
      </c>
      <c r="C2" s="2" t="s">
        <v>12</v>
      </c>
      <c r="D2" s="2">
        <v>10.16</v>
      </c>
      <c r="E2" s="2">
        <v>148090</v>
      </c>
      <c r="F2" s="2">
        <v>14575.787401574802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ht="28">
      <c r="A3" s="2" t="s">
        <v>10</v>
      </c>
      <c r="B3" s="2" t="s">
        <v>11</v>
      </c>
      <c r="C3" s="2" t="s">
        <v>17</v>
      </c>
      <c r="D3" s="2">
        <v>10.55</v>
      </c>
      <c r="E3" s="2">
        <v>84089</v>
      </c>
      <c r="F3" s="2">
        <v>7970.5213270142176</v>
      </c>
      <c r="G3" s="2" t="s">
        <v>13</v>
      </c>
      <c r="H3" s="2" t="s">
        <v>18</v>
      </c>
      <c r="I3" s="2" t="s">
        <v>15</v>
      </c>
      <c r="J3" s="2" t="s">
        <v>19</v>
      </c>
    </row>
    <row r="4" spans="1:10">
      <c r="A4" s="2" t="s">
        <v>10</v>
      </c>
      <c r="B4" s="2" t="s">
        <v>11</v>
      </c>
      <c r="C4" s="2" t="s">
        <v>20</v>
      </c>
      <c r="D4" s="2">
        <v>6.45</v>
      </c>
      <c r="E4" s="2">
        <v>68124</v>
      </c>
      <c r="F4" s="2">
        <v>10561.860465116279</v>
      </c>
      <c r="G4" s="2" t="s">
        <v>13</v>
      </c>
      <c r="H4" s="2" t="s">
        <v>21</v>
      </c>
      <c r="I4" s="2" t="s">
        <v>15</v>
      </c>
      <c r="J4" s="2" t="s">
        <v>22</v>
      </c>
    </row>
    <row r="5" spans="1:10" ht="28">
      <c r="A5" s="2" t="s">
        <v>10</v>
      </c>
      <c r="B5" s="2" t="s">
        <v>11</v>
      </c>
      <c r="C5" s="2" t="s">
        <v>23</v>
      </c>
      <c r="D5" s="2">
        <v>8.5399999999999991</v>
      </c>
      <c r="E5" s="2">
        <v>153674</v>
      </c>
      <c r="F5" s="2">
        <v>17994.613583138176</v>
      </c>
      <c r="G5" s="2" t="s">
        <v>13</v>
      </c>
      <c r="H5" s="2" t="s">
        <v>24</v>
      </c>
      <c r="I5" s="2" t="s">
        <v>15</v>
      </c>
      <c r="J5" s="2" t="s">
        <v>25</v>
      </c>
    </row>
    <row r="6" spans="1:10" ht="28">
      <c r="A6" s="2" t="s">
        <v>26</v>
      </c>
      <c r="B6" s="2" t="s">
        <v>27</v>
      </c>
      <c r="C6" s="2" t="s">
        <v>28</v>
      </c>
      <c r="D6" s="2">
        <v>10.47</v>
      </c>
      <c r="E6" s="2">
        <v>172134</v>
      </c>
      <c r="F6" s="2">
        <v>16440.687679083094</v>
      </c>
      <c r="G6" s="2" t="s">
        <v>13</v>
      </c>
      <c r="H6" s="2" t="s">
        <v>29</v>
      </c>
      <c r="I6" s="2" t="s">
        <v>15</v>
      </c>
      <c r="J6" s="2" t="s">
        <v>22</v>
      </c>
    </row>
    <row r="7" spans="1:10" ht="28">
      <c r="A7" s="2" t="s">
        <v>26</v>
      </c>
      <c r="B7" s="2" t="s">
        <v>27</v>
      </c>
      <c r="C7" s="2" t="s">
        <v>26</v>
      </c>
      <c r="D7" s="2">
        <v>11.25</v>
      </c>
      <c r="E7" s="2">
        <v>161851</v>
      </c>
      <c r="F7" s="2">
        <v>14386.755555555555</v>
      </c>
      <c r="G7" s="2" t="s">
        <v>13</v>
      </c>
      <c r="H7" s="2" t="s">
        <v>30</v>
      </c>
      <c r="I7" s="2" t="s">
        <v>15</v>
      </c>
      <c r="J7" s="2" t="s">
        <v>22</v>
      </c>
    </row>
    <row r="8" spans="1:10" ht="56">
      <c r="A8" s="2" t="s">
        <v>26</v>
      </c>
      <c r="B8" s="2" t="s">
        <v>27</v>
      </c>
      <c r="C8" s="2" t="s">
        <v>31</v>
      </c>
      <c r="D8" s="2">
        <v>14.71</v>
      </c>
      <c r="E8" s="2">
        <v>113363</v>
      </c>
      <c r="F8" s="2">
        <v>7706.5261726716517</v>
      </c>
      <c r="G8" s="2" t="s">
        <v>32</v>
      </c>
      <c r="H8" s="2" t="s">
        <v>33</v>
      </c>
      <c r="I8" s="2" t="s">
        <v>34</v>
      </c>
      <c r="J8" s="2" t="s">
        <v>35</v>
      </c>
    </row>
    <row r="9" spans="1:10" ht="28">
      <c r="A9" s="2" t="s">
        <v>26</v>
      </c>
      <c r="B9" s="2" t="s">
        <v>27</v>
      </c>
      <c r="C9" s="2" t="s">
        <v>36</v>
      </c>
      <c r="D9" s="2">
        <v>7.15</v>
      </c>
      <c r="E9" s="2">
        <v>165142</v>
      </c>
      <c r="F9" s="2">
        <v>23096.783216783217</v>
      </c>
      <c r="G9" s="2" t="s">
        <v>37</v>
      </c>
      <c r="H9" s="2" t="s">
        <v>38</v>
      </c>
      <c r="I9" s="2" t="s">
        <v>15</v>
      </c>
      <c r="J9" s="2" t="s">
        <v>39</v>
      </c>
    </row>
    <row r="10" spans="1:10" ht="28">
      <c r="A10" s="2" t="s">
        <v>26</v>
      </c>
      <c r="B10" s="2" t="s">
        <v>27</v>
      </c>
      <c r="C10" s="2" t="s">
        <v>40</v>
      </c>
      <c r="D10" s="2">
        <v>8.4700000000000006</v>
      </c>
      <c r="E10" s="2">
        <v>187950</v>
      </c>
      <c r="F10" s="2">
        <v>22190.082644628099</v>
      </c>
      <c r="G10" s="2" t="s">
        <v>37</v>
      </c>
      <c r="H10" s="2" t="s">
        <v>41</v>
      </c>
      <c r="I10" s="2" t="s">
        <v>42</v>
      </c>
      <c r="J10" s="2" t="s">
        <v>43</v>
      </c>
    </row>
    <row r="11" spans="1:10" ht="28">
      <c r="A11" s="2" t="s">
        <v>44</v>
      </c>
      <c r="B11" s="2" t="s">
        <v>45</v>
      </c>
      <c r="C11" s="2" t="s">
        <v>46</v>
      </c>
      <c r="D11" s="2">
        <v>3.95</v>
      </c>
      <c r="E11" s="2">
        <v>72616</v>
      </c>
      <c r="F11" s="2">
        <v>18383.797468354431</v>
      </c>
      <c r="G11" s="2" t="s">
        <v>13</v>
      </c>
      <c r="H11" s="2" t="s">
        <v>47</v>
      </c>
      <c r="I11" s="2" t="s">
        <v>48</v>
      </c>
      <c r="J11" s="2" t="s">
        <v>49</v>
      </c>
    </row>
    <row r="12" spans="1:10" ht="28">
      <c r="A12" s="2" t="s">
        <v>44</v>
      </c>
      <c r="B12" s="2" t="s">
        <v>45</v>
      </c>
      <c r="C12" s="2" t="s">
        <v>50</v>
      </c>
      <c r="D12" s="2">
        <v>3.46</v>
      </c>
      <c r="E12" s="2">
        <v>117277</v>
      </c>
      <c r="F12" s="2">
        <v>33895.08670520231</v>
      </c>
      <c r="G12" s="2" t="s">
        <v>13</v>
      </c>
      <c r="H12" s="2" t="s">
        <v>51</v>
      </c>
      <c r="I12" s="2" t="s">
        <v>15</v>
      </c>
      <c r="J12" s="2" t="s">
        <v>22</v>
      </c>
    </row>
    <row r="13" spans="1:10" ht="28">
      <c r="A13" s="2" t="s">
        <v>44</v>
      </c>
      <c r="B13" s="2" t="s">
        <v>45</v>
      </c>
      <c r="C13" s="2" t="s">
        <v>52</v>
      </c>
      <c r="D13" s="2">
        <v>3.02</v>
      </c>
      <c r="E13" s="2">
        <v>140436</v>
      </c>
      <c r="F13" s="2">
        <v>46501.986754966885</v>
      </c>
      <c r="G13" s="2" t="s">
        <v>13</v>
      </c>
      <c r="H13" s="2" t="s">
        <v>53</v>
      </c>
      <c r="I13" s="2" t="s">
        <v>15</v>
      </c>
      <c r="J13" s="2" t="s">
        <v>22</v>
      </c>
    </row>
    <row r="14" spans="1:10" ht="28">
      <c r="A14" s="2" t="s">
        <v>44</v>
      </c>
      <c r="B14" s="2" t="s">
        <v>45</v>
      </c>
      <c r="C14" s="2" t="s">
        <v>44</v>
      </c>
      <c r="D14" s="2">
        <v>2.52</v>
      </c>
      <c r="E14" s="2">
        <v>93117</v>
      </c>
      <c r="F14" s="2">
        <v>36951.190476190473</v>
      </c>
      <c r="G14" s="2" t="s">
        <v>13</v>
      </c>
      <c r="H14" s="2" t="s">
        <v>54</v>
      </c>
      <c r="I14" s="2" t="s">
        <v>15</v>
      </c>
      <c r="J14" s="2" t="s">
        <v>22</v>
      </c>
    </row>
    <row r="15" spans="1:10" ht="56">
      <c r="A15" s="2" t="s">
        <v>44</v>
      </c>
      <c r="B15" s="2" t="s">
        <v>45</v>
      </c>
      <c r="C15" s="2" t="s">
        <v>55</v>
      </c>
      <c r="D15" s="2">
        <v>2.99</v>
      </c>
      <c r="E15" s="2">
        <v>103780</v>
      </c>
      <c r="F15" s="2">
        <v>34709.030100334443</v>
      </c>
      <c r="G15" s="2" t="s">
        <v>32</v>
      </c>
      <c r="H15" s="2" t="s">
        <v>56</v>
      </c>
      <c r="I15" s="2" t="s">
        <v>57</v>
      </c>
      <c r="J15" s="2" t="s">
        <v>58</v>
      </c>
    </row>
    <row r="16" spans="1:10" ht="42">
      <c r="A16" s="2" t="s">
        <v>59</v>
      </c>
      <c r="B16" s="2" t="s">
        <v>60</v>
      </c>
      <c r="C16" s="2" t="s">
        <v>59</v>
      </c>
      <c r="D16" s="2">
        <v>21.375</v>
      </c>
      <c r="E16" s="2">
        <v>227817</v>
      </c>
      <c r="F16" s="2">
        <v>10658.105263157895</v>
      </c>
      <c r="G16" s="2" t="s">
        <v>13</v>
      </c>
      <c r="H16" s="2" t="s">
        <v>61</v>
      </c>
      <c r="I16" s="2" t="s">
        <v>62</v>
      </c>
      <c r="J16" s="2" t="s">
        <v>63</v>
      </c>
    </row>
    <row r="17" spans="1:10" ht="42">
      <c r="A17" s="2" t="s">
        <v>59</v>
      </c>
      <c r="B17" s="2" t="s">
        <v>60</v>
      </c>
      <c r="C17" s="2" t="s">
        <v>64</v>
      </c>
      <c r="D17" s="2">
        <v>21.893000000000001</v>
      </c>
      <c r="E17" s="2">
        <v>132056</v>
      </c>
      <c r="F17" s="2">
        <v>6031.8823368199883</v>
      </c>
      <c r="G17" s="2" t="s">
        <v>13</v>
      </c>
      <c r="H17" s="2" t="s">
        <v>61</v>
      </c>
      <c r="I17" s="2" t="s">
        <v>62</v>
      </c>
      <c r="J17" s="2" t="s">
        <v>22</v>
      </c>
    </row>
    <row r="18" spans="1:10" ht="42">
      <c r="A18" s="2" t="s">
        <v>59</v>
      </c>
      <c r="B18" s="2" t="s">
        <v>60</v>
      </c>
      <c r="C18" s="2" t="s">
        <v>65</v>
      </c>
      <c r="D18" s="2">
        <v>21.46</v>
      </c>
      <c r="E18" s="2">
        <v>100243</v>
      </c>
      <c r="F18" s="2">
        <v>4671.1556383970174</v>
      </c>
      <c r="G18" s="2" t="s">
        <v>13</v>
      </c>
      <c r="H18" s="2" t="s">
        <v>61</v>
      </c>
      <c r="I18" s="2" t="s">
        <v>62</v>
      </c>
      <c r="J18" s="2" t="s">
        <v>22</v>
      </c>
    </row>
    <row r="19" spans="1:10" ht="42">
      <c r="A19" s="2" t="s">
        <v>66</v>
      </c>
      <c r="B19" s="2" t="s">
        <v>67</v>
      </c>
      <c r="C19" s="2" t="s">
        <v>68</v>
      </c>
      <c r="D19" s="2">
        <v>14.82</v>
      </c>
      <c r="E19" s="2">
        <v>73629</v>
      </c>
      <c r="F19" s="2">
        <v>4968.2186234817809</v>
      </c>
      <c r="G19" s="2" t="s">
        <v>13</v>
      </c>
      <c r="H19" s="2" t="s">
        <v>69</v>
      </c>
      <c r="I19" s="2" t="s">
        <v>70</v>
      </c>
      <c r="J19" s="2" t="s">
        <v>71</v>
      </c>
    </row>
    <row r="20" spans="1:10" ht="42">
      <c r="A20" s="2" t="s">
        <v>66</v>
      </c>
      <c r="B20" s="2" t="s">
        <v>67</v>
      </c>
      <c r="C20" s="2" t="s">
        <v>72</v>
      </c>
      <c r="D20" s="2">
        <v>15.58</v>
      </c>
      <c r="E20" s="2">
        <v>108139</v>
      </c>
      <c r="F20" s="2">
        <v>6940.8857509627724</v>
      </c>
      <c r="G20" s="2" t="s">
        <v>13</v>
      </c>
      <c r="H20" s="2" t="s">
        <v>69</v>
      </c>
      <c r="I20" s="2" t="s">
        <v>70</v>
      </c>
      <c r="J20" s="2" t="s">
        <v>73</v>
      </c>
    </row>
    <row r="21" spans="1:10" ht="42">
      <c r="A21" s="2" t="s">
        <v>66</v>
      </c>
      <c r="B21" s="2" t="s">
        <v>67</v>
      </c>
      <c r="C21" s="2" t="s">
        <v>74</v>
      </c>
      <c r="D21" s="2">
        <v>19.649999999999999</v>
      </c>
      <c r="E21" s="2">
        <v>56614</v>
      </c>
      <c r="F21" s="2">
        <v>2881.1195928753182</v>
      </c>
      <c r="G21" s="2" t="s">
        <v>13</v>
      </c>
      <c r="H21" s="2" t="s">
        <v>69</v>
      </c>
      <c r="I21" s="2" t="s">
        <v>70</v>
      </c>
      <c r="J21" s="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22" customWidth="1"/>
    <col min="3" max="3" width="30" customWidth="1"/>
    <col min="4" max="4" width="28" customWidth="1"/>
    <col min="5" max="5" width="44" customWidth="1"/>
    <col min="6" max="6" width="14" customWidth="1"/>
    <col min="7" max="7" width="55" customWidth="1"/>
    <col min="8" max="9" width="28" customWidth="1"/>
    <col min="10" max="10" width="55" customWidth="1"/>
  </cols>
  <sheetData>
    <row r="1" spans="1:10" ht="28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 ht="28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</row>
    <row r="4" spans="1:10" ht="28">
      <c r="A4" s="2" t="s">
        <v>96</v>
      </c>
      <c r="B4" s="2" t="s">
        <v>87</v>
      </c>
      <c r="C4" s="2" t="s">
        <v>97</v>
      </c>
      <c r="D4" s="2" t="s">
        <v>89</v>
      </c>
      <c r="E4" s="2" t="s">
        <v>98</v>
      </c>
      <c r="F4" s="2" t="s">
        <v>91</v>
      </c>
      <c r="G4" s="2" t="s">
        <v>92</v>
      </c>
      <c r="H4" s="2" t="s">
        <v>93</v>
      </c>
      <c r="I4" s="2" t="s">
        <v>94</v>
      </c>
      <c r="J4" s="2" t="s">
        <v>99</v>
      </c>
    </row>
    <row r="5" spans="1:10" ht="28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108</v>
      </c>
      <c r="J5" s="2" t="s">
        <v>109</v>
      </c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45" customWidth="1"/>
    <col min="3" max="3" width="42" customWidth="1"/>
    <col min="4" max="4" width="12" customWidth="1"/>
    <col min="5" max="5" width="15" customWidth="1"/>
    <col min="6" max="6" width="16" customWidth="1"/>
    <col min="7" max="7" width="17" customWidth="1"/>
    <col min="8" max="9" width="42" customWidth="1"/>
    <col min="10" max="12" width="38" customWidth="1"/>
    <col min="13" max="13" width="45" customWidth="1"/>
    <col min="14" max="17" width="52" customWidth="1"/>
    <col min="18" max="18" width="18" customWidth="1"/>
    <col min="19" max="19" width="52" customWidth="1"/>
  </cols>
  <sheetData>
    <row r="1" spans="1:19" ht="28">
      <c r="A1" s="1" t="s">
        <v>0</v>
      </c>
      <c r="B1" s="1" t="s">
        <v>1</v>
      </c>
      <c r="C1" s="1" t="s">
        <v>2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77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</row>
    <row r="2" spans="1:19" ht="56">
      <c r="A2" s="2" t="s">
        <v>10</v>
      </c>
      <c r="B2" s="2" t="s">
        <v>11</v>
      </c>
      <c r="C2" s="2" t="s">
        <v>125</v>
      </c>
      <c r="D2" s="2">
        <v>4</v>
      </c>
      <c r="E2" s="2">
        <v>35.700000000000003</v>
      </c>
      <c r="F2" s="2">
        <v>453977</v>
      </c>
      <c r="G2" s="2">
        <v>12716.442577030812</v>
      </c>
      <c r="H2" s="2" t="s">
        <v>126</v>
      </c>
      <c r="I2" s="2" t="s">
        <v>127</v>
      </c>
      <c r="J2" s="2" t="s">
        <v>128</v>
      </c>
      <c r="K2" s="2" t="s">
        <v>129</v>
      </c>
      <c r="L2" s="2" t="s">
        <v>130</v>
      </c>
      <c r="M2" s="2" t="s">
        <v>131</v>
      </c>
      <c r="N2" s="2" t="s">
        <v>132</v>
      </c>
      <c r="O2" s="2" t="s">
        <v>133</v>
      </c>
      <c r="P2" s="2" t="s">
        <v>134</v>
      </c>
      <c r="Q2" s="2" t="s">
        <v>135</v>
      </c>
      <c r="R2" s="2" t="s">
        <v>136</v>
      </c>
      <c r="S2" s="2" t="s">
        <v>137</v>
      </c>
    </row>
    <row r="3" spans="1:19" ht="42">
      <c r="A3" s="2" t="s">
        <v>26</v>
      </c>
      <c r="B3" s="2" t="s">
        <v>27</v>
      </c>
      <c r="C3" s="2" t="s">
        <v>138</v>
      </c>
      <c r="D3" s="2">
        <v>5</v>
      </c>
      <c r="E3" s="2">
        <v>52.05</v>
      </c>
      <c r="F3" s="2">
        <v>800440</v>
      </c>
      <c r="G3" s="2">
        <v>15378.290105667627</v>
      </c>
      <c r="H3" s="2" t="s">
        <v>139</v>
      </c>
      <c r="I3" s="2" t="s">
        <v>140</v>
      </c>
      <c r="J3" s="2" t="s">
        <v>141</v>
      </c>
      <c r="K3" s="2" t="s">
        <v>142</v>
      </c>
      <c r="L3" s="2" t="s">
        <v>143</v>
      </c>
      <c r="M3" s="2" t="s">
        <v>144</v>
      </c>
      <c r="N3" s="2" t="s">
        <v>145</v>
      </c>
      <c r="O3" s="2" t="s">
        <v>146</v>
      </c>
      <c r="P3" s="2"/>
      <c r="Q3" s="2" t="s">
        <v>135</v>
      </c>
      <c r="R3" s="2" t="s">
        <v>136</v>
      </c>
      <c r="S3" s="2" t="s">
        <v>147</v>
      </c>
    </row>
    <row r="4" spans="1:19" ht="70">
      <c r="A4" s="2" t="s">
        <v>44</v>
      </c>
      <c r="B4" s="2" t="s">
        <v>45</v>
      </c>
      <c r="C4" s="2" t="s">
        <v>148</v>
      </c>
      <c r="D4" s="2">
        <v>5</v>
      </c>
      <c r="E4" s="2">
        <v>15.94</v>
      </c>
      <c r="F4" s="2">
        <v>527226</v>
      </c>
      <c r="G4" s="2">
        <v>33075.65872020075</v>
      </c>
      <c r="H4" s="2" t="s">
        <v>149</v>
      </c>
      <c r="I4" s="2" t="s">
        <v>150</v>
      </c>
      <c r="J4" s="2" t="s">
        <v>151</v>
      </c>
      <c r="K4" s="2" t="s">
        <v>152</v>
      </c>
      <c r="L4" s="2" t="s">
        <v>153</v>
      </c>
      <c r="M4" s="2" t="s">
        <v>154</v>
      </c>
      <c r="N4" s="2" t="s">
        <v>155</v>
      </c>
      <c r="O4" s="2" t="s">
        <v>156</v>
      </c>
      <c r="P4" s="2" t="s">
        <v>157</v>
      </c>
      <c r="Q4" s="2" t="s">
        <v>135</v>
      </c>
      <c r="R4" s="2" t="s">
        <v>136</v>
      </c>
      <c r="S4" s="2" t="s">
        <v>158</v>
      </c>
    </row>
    <row r="5" spans="1:19" ht="42">
      <c r="A5" s="2" t="s">
        <v>59</v>
      </c>
      <c r="B5" s="2" t="s">
        <v>60</v>
      </c>
      <c r="C5" s="2" t="s">
        <v>159</v>
      </c>
      <c r="D5" s="2">
        <v>3</v>
      </c>
      <c r="E5" s="2">
        <v>64.728000000000009</v>
      </c>
      <c r="F5" s="2">
        <v>460116</v>
      </c>
      <c r="G5" s="2">
        <v>7108.4538375973298</v>
      </c>
      <c r="H5" s="2" t="s">
        <v>160</v>
      </c>
      <c r="I5" s="2" t="s">
        <v>161</v>
      </c>
      <c r="J5" s="2" t="s">
        <v>162</v>
      </c>
      <c r="K5" s="2" t="s">
        <v>163</v>
      </c>
      <c r="L5" s="2" t="s">
        <v>164</v>
      </c>
      <c r="M5" s="2" t="s">
        <v>165</v>
      </c>
      <c r="N5" s="2" t="s">
        <v>166</v>
      </c>
      <c r="O5" s="2" t="s">
        <v>167</v>
      </c>
      <c r="P5" s="2" t="s">
        <v>168</v>
      </c>
      <c r="Q5" s="2"/>
      <c r="R5" s="2" t="s">
        <v>136</v>
      </c>
      <c r="S5" s="2" t="s">
        <v>169</v>
      </c>
    </row>
    <row r="6" spans="1:19" ht="42">
      <c r="A6" s="2" t="s">
        <v>66</v>
      </c>
      <c r="B6" s="2" t="s">
        <v>67</v>
      </c>
      <c r="C6" s="2" t="s">
        <v>170</v>
      </c>
      <c r="D6" s="2">
        <v>3</v>
      </c>
      <c r="E6" s="2">
        <v>50.05</v>
      </c>
      <c r="F6" s="2">
        <v>238382</v>
      </c>
      <c r="G6" s="2">
        <v>4762.8771228771229</v>
      </c>
      <c r="H6" s="2" t="s">
        <v>171</v>
      </c>
      <c r="I6" s="2" t="s">
        <v>172</v>
      </c>
      <c r="J6" s="2" t="s">
        <v>173</v>
      </c>
      <c r="K6" s="2" t="s">
        <v>174</v>
      </c>
      <c r="L6" s="2" t="s">
        <v>175</v>
      </c>
      <c r="M6" s="2" t="s">
        <v>176</v>
      </c>
      <c r="N6" s="2" t="s">
        <v>177</v>
      </c>
      <c r="O6" s="2" t="s">
        <v>178</v>
      </c>
      <c r="P6" s="2" t="s">
        <v>179</v>
      </c>
      <c r="Q6" s="2" t="s">
        <v>180</v>
      </c>
      <c r="R6" s="2" t="s">
        <v>181</v>
      </c>
      <c r="S6" s="2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2" width="20" customWidth="1"/>
    <col min="3" max="3" width="28" customWidth="1"/>
    <col min="4" max="4" width="42" customWidth="1"/>
    <col min="5" max="5" width="16" customWidth="1"/>
    <col min="6" max="7" width="13" customWidth="1"/>
    <col min="8" max="8" width="14" customWidth="1"/>
    <col min="9" max="9" width="52" customWidth="1"/>
    <col min="10" max="10" width="18" customWidth="1"/>
    <col min="11" max="11" width="14" customWidth="1"/>
    <col min="12" max="12" width="18" customWidth="1"/>
    <col min="13" max="13" width="32" customWidth="1"/>
    <col min="14" max="14" width="20" customWidth="1"/>
  </cols>
  <sheetData>
    <row r="1" spans="1:14" ht="28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</row>
    <row r="2" spans="1:14" ht="28">
      <c r="A2" s="2" t="s">
        <v>197</v>
      </c>
      <c r="B2" s="2" t="s">
        <v>198</v>
      </c>
      <c r="C2" s="2" t="s">
        <v>199</v>
      </c>
      <c r="D2" s="2" t="s">
        <v>200</v>
      </c>
      <c r="E2" s="2" t="s">
        <v>201</v>
      </c>
      <c r="F2" s="3">
        <v>10.768887769999999</v>
      </c>
      <c r="G2" s="3">
        <v>106.6946753</v>
      </c>
      <c r="H2" s="2" t="s">
        <v>202</v>
      </c>
      <c r="I2" s="2" t="s">
        <v>203</v>
      </c>
      <c r="J2" s="2" t="s">
        <v>204</v>
      </c>
      <c r="K2" s="2" t="s">
        <v>205</v>
      </c>
      <c r="L2" s="2" t="s">
        <v>204</v>
      </c>
      <c r="M2" s="2" t="s">
        <v>206</v>
      </c>
      <c r="N2" s="2" t="s">
        <v>207</v>
      </c>
    </row>
    <row r="3" spans="1:14" ht="28">
      <c r="A3" s="2" t="s">
        <v>208</v>
      </c>
      <c r="B3" s="2" t="s">
        <v>198</v>
      </c>
      <c r="C3" s="2" t="s">
        <v>209</v>
      </c>
      <c r="D3" s="2" t="s">
        <v>210</v>
      </c>
      <c r="E3" s="2" t="s">
        <v>211</v>
      </c>
      <c r="F3" s="3">
        <v>10.7687641</v>
      </c>
      <c r="G3" s="3">
        <v>106.6689417</v>
      </c>
      <c r="H3" s="2" t="s">
        <v>202</v>
      </c>
      <c r="I3" s="2" t="s">
        <v>203</v>
      </c>
      <c r="J3" s="2" t="s">
        <v>212</v>
      </c>
      <c r="K3" s="2" t="s">
        <v>213</v>
      </c>
      <c r="L3" s="2"/>
      <c r="M3" s="2"/>
      <c r="N3" s="2" t="s">
        <v>207</v>
      </c>
    </row>
    <row r="4" spans="1:14" ht="28">
      <c r="A4" s="2" t="s">
        <v>214</v>
      </c>
      <c r="B4" s="2" t="s">
        <v>198</v>
      </c>
      <c r="C4" s="2" t="s">
        <v>215</v>
      </c>
      <c r="D4" s="2" t="s">
        <v>216</v>
      </c>
      <c r="E4" s="2" t="s">
        <v>44</v>
      </c>
      <c r="F4" s="3">
        <v>10.817034899999999</v>
      </c>
      <c r="G4" s="3">
        <v>106.6316769</v>
      </c>
      <c r="H4" s="2" t="s">
        <v>202</v>
      </c>
      <c r="I4" s="2" t="s">
        <v>203</v>
      </c>
      <c r="J4" s="2" t="s">
        <v>212</v>
      </c>
      <c r="K4" s="2" t="s">
        <v>213</v>
      </c>
      <c r="L4" s="2"/>
      <c r="M4" s="2"/>
      <c r="N4" s="2" t="s">
        <v>207</v>
      </c>
    </row>
    <row r="5" spans="1:14" ht="28">
      <c r="A5" s="2" t="s">
        <v>217</v>
      </c>
      <c r="B5" s="2" t="s">
        <v>218</v>
      </c>
      <c r="C5" s="2" t="s">
        <v>219</v>
      </c>
      <c r="D5" s="2" t="s">
        <v>220</v>
      </c>
      <c r="E5" s="2" t="s">
        <v>221</v>
      </c>
      <c r="F5" s="3">
        <v>10.80180612</v>
      </c>
      <c r="G5" s="3">
        <v>106.71072119999999</v>
      </c>
      <c r="H5" s="2" t="s">
        <v>202</v>
      </c>
      <c r="I5" s="2" t="s">
        <v>222</v>
      </c>
      <c r="J5" s="2" t="s">
        <v>204</v>
      </c>
      <c r="K5" s="2" t="s">
        <v>205</v>
      </c>
      <c r="L5" s="2" t="s">
        <v>204</v>
      </c>
      <c r="M5" s="2" t="s">
        <v>206</v>
      </c>
      <c r="N5" s="2" t="s">
        <v>207</v>
      </c>
    </row>
    <row r="6" spans="1:14" ht="28">
      <c r="A6" s="2" t="s">
        <v>223</v>
      </c>
      <c r="B6" s="2" t="s">
        <v>218</v>
      </c>
      <c r="C6" s="2" t="s">
        <v>224</v>
      </c>
      <c r="D6" s="2" t="s">
        <v>225</v>
      </c>
      <c r="E6" s="2" t="s">
        <v>26</v>
      </c>
      <c r="F6" s="3">
        <v>10.738674530000001</v>
      </c>
      <c r="G6" s="3">
        <v>106.61508569999999</v>
      </c>
      <c r="H6" s="2" t="s">
        <v>202</v>
      </c>
      <c r="I6" s="2" t="s">
        <v>222</v>
      </c>
      <c r="J6" s="2" t="s">
        <v>204</v>
      </c>
      <c r="K6" s="2" t="s">
        <v>205</v>
      </c>
      <c r="L6" s="2" t="s">
        <v>204</v>
      </c>
      <c r="M6" s="2" t="s">
        <v>206</v>
      </c>
      <c r="N6" s="2" t="s">
        <v>207</v>
      </c>
    </row>
    <row r="7" spans="1:14" ht="28">
      <c r="A7" s="2" t="s">
        <v>226</v>
      </c>
      <c r="B7" s="2" t="s">
        <v>218</v>
      </c>
      <c r="C7" s="2" t="s">
        <v>227</v>
      </c>
      <c r="D7" s="2" t="s">
        <v>228</v>
      </c>
      <c r="E7" s="2" t="s">
        <v>201</v>
      </c>
      <c r="F7" s="3">
        <v>10.7666048</v>
      </c>
      <c r="G7" s="3">
        <v>106.69215440000001</v>
      </c>
      <c r="H7" s="2" t="s">
        <v>202</v>
      </c>
      <c r="I7" s="2" t="s">
        <v>222</v>
      </c>
      <c r="J7" s="2" t="s">
        <v>212</v>
      </c>
      <c r="K7" s="2" t="s">
        <v>213</v>
      </c>
      <c r="L7" s="2"/>
      <c r="M7" s="2"/>
      <c r="N7" s="2" t="s">
        <v>207</v>
      </c>
    </row>
    <row r="8" spans="1:14" ht="28">
      <c r="A8" s="2" t="s">
        <v>229</v>
      </c>
      <c r="B8" s="2" t="s">
        <v>218</v>
      </c>
      <c r="C8" s="2" t="s">
        <v>230</v>
      </c>
      <c r="D8" s="2" t="s">
        <v>231</v>
      </c>
      <c r="E8" s="2" t="s">
        <v>211</v>
      </c>
      <c r="F8" s="3">
        <v>10.764105799999999</v>
      </c>
      <c r="G8" s="3">
        <v>106.66036870000001</v>
      </c>
      <c r="H8" s="2" t="s">
        <v>202</v>
      </c>
      <c r="I8" s="2" t="s">
        <v>222</v>
      </c>
      <c r="J8" s="2" t="s">
        <v>212</v>
      </c>
      <c r="K8" s="2" t="s">
        <v>213</v>
      </c>
      <c r="L8" s="2"/>
      <c r="M8" s="2"/>
      <c r="N8" s="2" t="s">
        <v>207</v>
      </c>
    </row>
    <row r="9" spans="1:14" ht="28">
      <c r="A9" s="2" t="s">
        <v>232</v>
      </c>
      <c r="B9" s="2" t="s">
        <v>218</v>
      </c>
      <c r="C9" s="2" t="s">
        <v>233</v>
      </c>
      <c r="D9" s="2" t="s">
        <v>234</v>
      </c>
      <c r="E9" s="2" t="s">
        <v>211</v>
      </c>
      <c r="F9" s="3">
        <v>10.764791839999999</v>
      </c>
      <c r="G9" s="3">
        <v>106.6614616</v>
      </c>
      <c r="H9" s="2" t="s">
        <v>202</v>
      </c>
      <c r="I9" s="2" t="s">
        <v>222</v>
      </c>
      <c r="J9" s="2" t="s">
        <v>204</v>
      </c>
      <c r="K9" s="2" t="s">
        <v>205</v>
      </c>
      <c r="L9" s="2" t="s">
        <v>204</v>
      </c>
      <c r="M9" s="2" t="s">
        <v>206</v>
      </c>
      <c r="N9" s="2" t="s">
        <v>207</v>
      </c>
    </row>
    <row r="10" spans="1:14" ht="28">
      <c r="A10" s="2" t="s">
        <v>235</v>
      </c>
      <c r="B10" s="2" t="s">
        <v>236</v>
      </c>
      <c r="C10" s="2" t="s">
        <v>237</v>
      </c>
      <c r="D10" s="2" t="s">
        <v>238</v>
      </c>
      <c r="E10" s="2" t="s">
        <v>211</v>
      </c>
      <c r="F10" s="3">
        <v>10.773733760000001</v>
      </c>
      <c r="G10" s="3">
        <v>106.6775178</v>
      </c>
      <c r="H10" s="2" t="s">
        <v>202</v>
      </c>
      <c r="I10" s="2" t="s">
        <v>239</v>
      </c>
      <c r="J10" s="2" t="s">
        <v>204</v>
      </c>
      <c r="K10" s="2" t="s">
        <v>205</v>
      </c>
      <c r="L10" s="2" t="s">
        <v>204</v>
      </c>
      <c r="M10" s="2" t="s">
        <v>206</v>
      </c>
      <c r="N10" s="2" t="s">
        <v>207</v>
      </c>
    </row>
    <row r="11" spans="1:14" ht="28">
      <c r="A11" s="2" t="s">
        <v>240</v>
      </c>
      <c r="B11" s="2" t="s">
        <v>236</v>
      </c>
      <c r="C11" s="2" t="s">
        <v>241</v>
      </c>
      <c r="D11" s="2" t="s">
        <v>242</v>
      </c>
      <c r="E11" s="2" t="s">
        <v>243</v>
      </c>
      <c r="F11" s="3">
        <v>10.7758527</v>
      </c>
      <c r="G11" s="3">
        <v>106.68522230000001</v>
      </c>
      <c r="H11" s="2" t="s">
        <v>202</v>
      </c>
      <c r="I11" s="2" t="s">
        <v>239</v>
      </c>
      <c r="J11" s="2" t="s">
        <v>212</v>
      </c>
      <c r="K11" s="2" t="s">
        <v>213</v>
      </c>
      <c r="L11" s="2"/>
      <c r="M11" s="2"/>
      <c r="N11" s="2" t="s">
        <v>207</v>
      </c>
    </row>
    <row r="12" spans="1:14" ht="28">
      <c r="A12" s="2" t="s">
        <v>244</v>
      </c>
      <c r="B12" s="2" t="s">
        <v>245</v>
      </c>
      <c r="C12" s="2" t="s">
        <v>246</v>
      </c>
      <c r="D12" s="2" t="s">
        <v>247</v>
      </c>
      <c r="E12" s="2" t="s">
        <v>248</v>
      </c>
      <c r="F12" s="3">
        <v>10.802839799999999</v>
      </c>
      <c r="G12" s="3">
        <v>106.6436253</v>
      </c>
      <c r="H12" s="2" t="s">
        <v>202</v>
      </c>
      <c r="I12" s="2" t="s">
        <v>249</v>
      </c>
      <c r="J12" s="2" t="s">
        <v>212</v>
      </c>
      <c r="K12" s="2" t="s">
        <v>213</v>
      </c>
      <c r="L12" s="2"/>
      <c r="M12" s="2"/>
      <c r="N12" s="2" t="s">
        <v>207</v>
      </c>
    </row>
    <row r="13" spans="1:14" ht="28">
      <c r="A13" s="2" t="s">
        <v>250</v>
      </c>
      <c r="B13" s="2" t="s">
        <v>251</v>
      </c>
      <c r="C13" s="2" t="s">
        <v>252</v>
      </c>
      <c r="D13" s="2" t="s">
        <v>253</v>
      </c>
      <c r="E13" s="2" t="s">
        <v>221</v>
      </c>
      <c r="F13" s="3">
        <v>10.8025629</v>
      </c>
      <c r="G13" s="3">
        <v>106.6975723</v>
      </c>
      <c r="H13" s="2" t="s">
        <v>202</v>
      </c>
      <c r="I13" s="2" t="s">
        <v>254</v>
      </c>
      <c r="J13" s="2" t="s">
        <v>212</v>
      </c>
      <c r="K13" s="2" t="s">
        <v>213</v>
      </c>
      <c r="L13" s="2"/>
      <c r="M13" s="2"/>
      <c r="N13" s="2" t="s">
        <v>207</v>
      </c>
    </row>
    <row r="14" spans="1:14" ht="28">
      <c r="A14" s="2" t="s">
        <v>255</v>
      </c>
      <c r="B14" s="2" t="s">
        <v>251</v>
      </c>
      <c r="C14" s="2" t="s">
        <v>256</v>
      </c>
      <c r="D14" s="2" t="s">
        <v>257</v>
      </c>
      <c r="E14" s="2" t="s">
        <v>258</v>
      </c>
      <c r="F14" s="3">
        <v>10.8345156</v>
      </c>
      <c r="G14" s="3">
        <v>106.6758864</v>
      </c>
      <c r="H14" s="2" t="s">
        <v>202</v>
      </c>
      <c r="I14" s="2" t="s">
        <v>254</v>
      </c>
      <c r="J14" s="2" t="s">
        <v>212</v>
      </c>
      <c r="K14" s="2" t="s">
        <v>213</v>
      </c>
      <c r="L14" s="2"/>
      <c r="M14" s="2"/>
      <c r="N14" s="2" t="s">
        <v>207</v>
      </c>
    </row>
    <row r="15" spans="1:14" ht="28">
      <c r="A15" s="2" t="s">
        <v>259</v>
      </c>
      <c r="B15" s="2" t="s">
        <v>251</v>
      </c>
      <c r="C15" s="2" t="s">
        <v>260</v>
      </c>
      <c r="D15" s="2" t="s">
        <v>261</v>
      </c>
      <c r="E15" s="2" t="s">
        <v>262</v>
      </c>
      <c r="F15" s="3">
        <v>10.865616470000001</v>
      </c>
      <c r="G15" s="3">
        <v>106.6142653</v>
      </c>
      <c r="H15" s="2" t="s">
        <v>202</v>
      </c>
      <c r="I15" s="2" t="s">
        <v>254</v>
      </c>
      <c r="J15" s="2" t="s">
        <v>204</v>
      </c>
      <c r="K15" s="2" t="s">
        <v>205</v>
      </c>
      <c r="L15" s="2" t="s">
        <v>204</v>
      </c>
      <c r="M15" s="2" t="s">
        <v>206</v>
      </c>
      <c r="N15" s="2" t="s">
        <v>207</v>
      </c>
    </row>
    <row r="16" spans="1:14" ht="28">
      <c r="A16" s="2" t="s">
        <v>263</v>
      </c>
      <c r="B16" s="2" t="s">
        <v>251</v>
      </c>
      <c r="C16" s="2" t="s">
        <v>264</v>
      </c>
      <c r="D16" s="2" t="s">
        <v>265</v>
      </c>
      <c r="E16" s="2" t="s">
        <v>243</v>
      </c>
      <c r="F16" s="3">
        <v>10.778622049999999</v>
      </c>
      <c r="G16" s="3">
        <v>106.68053329999999</v>
      </c>
      <c r="H16" s="2" t="s">
        <v>202</v>
      </c>
      <c r="I16" s="2" t="s">
        <v>254</v>
      </c>
      <c r="J16" s="2" t="s">
        <v>204</v>
      </c>
      <c r="K16" s="2" t="s">
        <v>205</v>
      </c>
      <c r="L16" s="2" t="s">
        <v>204</v>
      </c>
      <c r="M16" s="2" t="s">
        <v>206</v>
      </c>
      <c r="N16" s="2" t="s">
        <v>207</v>
      </c>
    </row>
    <row r="17" spans="1:14" ht="42">
      <c r="A17" s="2" t="s">
        <v>266</v>
      </c>
      <c r="B17" s="2" t="s">
        <v>251</v>
      </c>
      <c r="C17" s="2" t="s">
        <v>267</v>
      </c>
      <c r="D17" s="2" t="s">
        <v>268</v>
      </c>
      <c r="E17" s="2" t="s">
        <v>243</v>
      </c>
      <c r="F17" s="3">
        <v>10.77419338</v>
      </c>
      <c r="G17" s="3">
        <v>106.6893963</v>
      </c>
      <c r="H17" s="2" t="s">
        <v>202</v>
      </c>
      <c r="I17" s="2" t="s">
        <v>254</v>
      </c>
      <c r="J17" s="2" t="s">
        <v>204</v>
      </c>
      <c r="K17" s="2" t="s">
        <v>205</v>
      </c>
      <c r="L17" s="2" t="s">
        <v>204</v>
      </c>
      <c r="M17" s="2" t="s">
        <v>206</v>
      </c>
      <c r="N17" s="2" t="s">
        <v>207</v>
      </c>
    </row>
    <row r="18" spans="1:14" ht="28">
      <c r="A18" s="2" t="s">
        <v>269</v>
      </c>
      <c r="B18" s="2" t="s">
        <v>251</v>
      </c>
      <c r="C18" s="2" t="s">
        <v>270</v>
      </c>
      <c r="D18" s="2" t="s">
        <v>271</v>
      </c>
      <c r="E18" s="2" t="s">
        <v>272</v>
      </c>
      <c r="F18" s="3">
        <v>10.760278700000001</v>
      </c>
      <c r="G18" s="3">
        <v>106.6980314</v>
      </c>
      <c r="H18" s="2" t="s">
        <v>202</v>
      </c>
      <c r="I18" s="2" t="s">
        <v>254</v>
      </c>
      <c r="J18" s="2" t="s">
        <v>212</v>
      </c>
      <c r="K18" s="2" t="s">
        <v>213</v>
      </c>
      <c r="L18" s="2"/>
      <c r="M18" s="2"/>
      <c r="N18" s="2" t="s">
        <v>207</v>
      </c>
    </row>
    <row r="19" spans="1:14" ht="28">
      <c r="A19" s="2" t="s">
        <v>273</v>
      </c>
      <c r="B19" s="2" t="s">
        <v>251</v>
      </c>
      <c r="C19" s="2" t="s">
        <v>274</v>
      </c>
      <c r="D19" s="2" t="s">
        <v>275</v>
      </c>
      <c r="E19" s="2" t="s">
        <v>276</v>
      </c>
      <c r="F19" s="3">
        <v>10.747522</v>
      </c>
      <c r="G19" s="3">
        <v>106.628803</v>
      </c>
      <c r="H19" s="2" t="s">
        <v>202</v>
      </c>
      <c r="I19" s="2" t="s">
        <v>254</v>
      </c>
      <c r="J19" s="2" t="s">
        <v>212</v>
      </c>
      <c r="K19" s="2" t="s">
        <v>213</v>
      </c>
      <c r="L19" s="2"/>
      <c r="M19" s="2"/>
      <c r="N19" s="2" t="s">
        <v>207</v>
      </c>
    </row>
    <row r="20" spans="1:14" ht="28">
      <c r="A20" s="2" t="s">
        <v>277</v>
      </c>
      <c r="B20" s="2" t="s">
        <v>251</v>
      </c>
      <c r="C20" s="2" t="s">
        <v>278</v>
      </c>
      <c r="D20" s="2" t="s">
        <v>279</v>
      </c>
      <c r="E20" s="2" t="s">
        <v>10</v>
      </c>
      <c r="F20" s="3">
        <v>10.7396937</v>
      </c>
      <c r="G20" s="3">
        <v>106.7052752</v>
      </c>
      <c r="H20" s="2" t="s">
        <v>202</v>
      </c>
      <c r="I20" s="2" t="s">
        <v>254</v>
      </c>
      <c r="J20" s="2" t="s">
        <v>212</v>
      </c>
      <c r="K20" s="2" t="s">
        <v>213</v>
      </c>
      <c r="L20" s="2"/>
      <c r="M20" s="2"/>
      <c r="N20" s="2" t="s">
        <v>207</v>
      </c>
    </row>
    <row r="21" spans="1:14" ht="28">
      <c r="A21" s="2" t="s">
        <v>280</v>
      </c>
      <c r="B21" s="2" t="s">
        <v>251</v>
      </c>
      <c r="C21" s="2" t="s">
        <v>281</v>
      </c>
      <c r="D21" s="2" t="s">
        <v>282</v>
      </c>
      <c r="E21" s="2" t="s">
        <v>283</v>
      </c>
      <c r="F21" s="3">
        <v>10.84445171</v>
      </c>
      <c r="G21" s="3">
        <v>106.7814255</v>
      </c>
      <c r="H21" s="2" t="s">
        <v>202</v>
      </c>
      <c r="I21" s="2" t="s">
        <v>254</v>
      </c>
      <c r="J21" s="2" t="s">
        <v>204</v>
      </c>
      <c r="K21" s="2" t="s">
        <v>205</v>
      </c>
      <c r="L21" s="2" t="s">
        <v>204</v>
      </c>
      <c r="M21" s="2" t="s">
        <v>206</v>
      </c>
      <c r="N21" s="2" t="s">
        <v>207</v>
      </c>
    </row>
    <row r="22" spans="1:14" ht="28">
      <c r="A22" s="2" t="s">
        <v>284</v>
      </c>
      <c r="B22" s="2" t="s">
        <v>251</v>
      </c>
      <c r="C22" s="2" t="s">
        <v>285</v>
      </c>
      <c r="D22" s="2" t="s">
        <v>286</v>
      </c>
      <c r="E22" s="2" t="s">
        <v>283</v>
      </c>
      <c r="F22" s="3">
        <v>10.8508361</v>
      </c>
      <c r="G22" s="3">
        <v>106.7661456</v>
      </c>
      <c r="H22" s="2" t="s">
        <v>202</v>
      </c>
      <c r="I22" s="2" t="s">
        <v>254</v>
      </c>
      <c r="J22" s="2" t="s">
        <v>204</v>
      </c>
      <c r="K22" s="2" t="s">
        <v>205</v>
      </c>
      <c r="L22" s="2" t="s">
        <v>204</v>
      </c>
      <c r="M22" s="2" t="s">
        <v>206</v>
      </c>
      <c r="N22" s="2" t="s">
        <v>207</v>
      </c>
    </row>
    <row r="23" spans="1:14" ht="28">
      <c r="A23" s="2" t="s">
        <v>287</v>
      </c>
      <c r="B23" s="2" t="s">
        <v>251</v>
      </c>
      <c r="C23" s="2" t="s">
        <v>288</v>
      </c>
      <c r="D23" s="2" t="s">
        <v>289</v>
      </c>
      <c r="E23" s="2" t="s">
        <v>248</v>
      </c>
      <c r="F23" s="3">
        <v>10.796336800000001</v>
      </c>
      <c r="G23" s="3">
        <v>106.6469475</v>
      </c>
      <c r="H23" s="2" t="s">
        <v>202</v>
      </c>
      <c r="I23" s="2" t="s">
        <v>254</v>
      </c>
      <c r="J23" s="2" t="s">
        <v>212</v>
      </c>
      <c r="K23" s="2" t="s">
        <v>213</v>
      </c>
      <c r="L23" s="2"/>
      <c r="M23" s="2"/>
      <c r="N23" s="2" t="s">
        <v>207</v>
      </c>
    </row>
    <row r="24" spans="1:14" ht="28">
      <c r="A24" s="2" t="s">
        <v>290</v>
      </c>
      <c r="B24" s="2" t="s">
        <v>291</v>
      </c>
      <c r="C24" s="2" t="s">
        <v>292</v>
      </c>
      <c r="D24" s="2" t="s">
        <v>293</v>
      </c>
      <c r="E24" s="2" t="s">
        <v>221</v>
      </c>
      <c r="F24" s="3">
        <v>10.8035861</v>
      </c>
      <c r="G24" s="3">
        <v>106.698328</v>
      </c>
      <c r="H24" s="2" t="s">
        <v>202</v>
      </c>
      <c r="I24" s="2" t="s">
        <v>294</v>
      </c>
      <c r="J24" s="2" t="s">
        <v>212</v>
      </c>
      <c r="K24" s="2" t="s">
        <v>213</v>
      </c>
      <c r="L24" s="2"/>
      <c r="M24" s="2"/>
      <c r="N24" s="2" t="s">
        <v>207</v>
      </c>
    </row>
    <row r="25" spans="1:14" ht="28">
      <c r="A25" s="2" t="s">
        <v>295</v>
      </c>
      <c r="B25" s="2" t="s">
        <v>291</v>
      </c>
      <c r="C25" s="2" t="s">
        <v>296</v>
      </c>
      <c r="D25" s="2" t="s">
        <v>297</v>
      </c>
      <c r="E25" s="2" t="s">
        <v>201</v>
      </c>
      <c r="F25" s="3">
        <v>10.7621383</v>
      </c>
      <c r="G25" s="3">
        <v>106.6887447</v>
      </c>
      <c r="H25" s="2" t="s">
        <v>202</v>
      </c>
      <c r="I25" s="2" t="s">
        <v>294</v>
      </c>
      <c r="J25" s="2" t="s">
        <v>212</v>
      </c>
      <c r="K25" s="2" t="s">
        <v>213</v>
      </c>
      <c r="L25" s="2"/>
      <c r="M25" s="2"/>
      <c r="N25" s="2" t="s">
        <v>207</v>
      </c>
    </row>
    <row r="26" spans="1:14" ht="28">
      <c r="A26" s="2" t="s">
        <v>298</v>
      </c>
      <c r="B26" s="2" t="s">
        <v>299</v>
      </c>
      <c r="C26" s="2" t="s">
        <v>299</v>
      </c>
      <c r="D26" s="2" t="s">
        <v>300</v>
      </c>
      <c r="E26" s="2" t="s">
        <v>221</v>
      </c>
      <c r="F26" s="3">
        <v>10.809904899999999</v>
      </c>
      <c r="G26" s="3">
        <v>106.7122456</v>
      </c>
      <c r="H26" s="2" t="s">
        <v>202</v>
      </c>
      <c r="I26" s="2" t="s">
        <v>301</v>
      </c>
      <c r="J26" s="2" t="s">
        <v>212</v>
      </c>
      <c r="K26" s="2" t="s">
        <v>213</v>
      </c>
      <c r="L26" s="2"/>
      <c r="M26" s="2"/>
      <c r="N26" s="2" t="s">
        <v>207</v>
      </c>
    </row>
    <row r="27" spans="1:14" ht="28">
      <c r="A27" s="2" t="s">
        <v>302</v>
      </c>
      <c r="B27" s="2" t="s">
        <v>303</v>
      </c>
      <c r="C27" s="2" t="s">
        <v>304</v>
      </c>
      <c r="D27" s="2" t="s">
        <v>305</v>
      </c>
      <c r="E27" s="2" t="s">
        <v>221</v>
      </c>
      <c r="F27" s="3">
        <v>10.803308700000001</v>
      </c>
      <c r="G27" s="3">
        <v>106.705646</v>
      </c>
      <c r="H27" s="2" t="s">
        <v>202</v>
      </c>
      <c r="I27" s="2" t="s">
        <v>306</v>
      </c>
      <c r="J27" s="2" t="s">
        <v>212</v>
      </c>
      <c r="K27" s="2" t="s">
        <v>213</v>
      </c>
      <c r="L27" s="2"/>
      <c r="M27" s="2"/>
      <c r="N27" s="2" t="s">
        <v>207</v>
      </c>
    </row>
    <row r="28" spans="1:14" ht="28">
      <c r="A28" s="2" t="s">
        <v>307</v>
      </c>
      <c r="B28" s="2" t="s">
        <v>303</v>
      </c>
      <c r="C28" s="2" t="s">
        <v>308</v>
      </c>
      <c r="D28" s="2" t="s">
        <v>309</v>
      </c>
      <c r="E28" s="2" t="s">
        <v>26</v>
      </c>
      <c r="F28" s="3">
        <v>10.7566445</v>
      </c>
      <c r="G28" s="3">
        <v>106.5903794</v>
      </c>
      <c r="H28" s="2" t="s">
        <v>202</v>
      </c>
      <c r="I28" s="2" t="s">
        <v>306</v>
      </c>
      <c r="J28" s="2" t="s">
        <v>212</v>
      </c>
      <c r="K28" s="2" t="s">
        <v>213</v>
      </c>
      <c r="L28" s="2"/>
      <c r="M28" s="2"/>
      <c r="N28" s="2" t="s">
        <v>207</v>
      </c>
    </row>
    <row r="29" spans="1:14" ht="28">
      <c r="A29" s="2" t="s">
        <v>310</v>
      </c>
      <c r="B29" s="2" t="s">
        <v>303</v>
      </c>
      <c r="C29" s="2" t="s">
        <v>311</v>
      </c>
      <c r="D29" s="2" t="s">
        <v>312</v>
      </c>
      <c r="E29" s="2" t="s">
        <v>258</v>
      </c>
      <c r="F29" s="3">
        <v>10.8336133</v>
      </c>
      <c r="G29" s="3">
        <v>106.66983879999999</v>
      </c>
      <c r="H29" s="2" t="s">
        <v>202</v>
      </c>
      <c r="I29" s="2" t="s">
        <v>306</v>
      </c>
      <c r="J29" s="2" t="s">
        <v>212</v>
      </c>
      <c r="K29" s="2" t="s">
        <v>213</v>
      </c>
      <c r="L29" s="2"/>
      <c r="M29" s="2"/>
      <c r="N29" s="2" t="s">
        <v>207</v>
      </c>
    </row>
    <row r="30" spans="1:14" ht="28">
      <c r="A30" s="2" t="s">
        <v>313</v>
      </c>
      <c r="B30" s="2" t="s">
        <v>303</v>
      </c>
      <c r="C30" s="2" t="s">
        <v>314</v>
      </c>
      <c r="D30" s="2" t="s">
        <v>315</v>
      </c>
      <c r="E30" s="2" t="s">
        <v>76</v>
      </c>
      <c r="F30" s="3">
        <v>10.7998542</v>
      </c>
      <c r="G30" s="3">
        <v>106.6712486</v>
      </c>
      <c r="H30" s="2" t="s">
        <v>202</v>
      </c>
      <c r="I30" s="2" t="s">
        <v>306</v>
      </c>
      <c r="J30" s="2" t="s">
        <v>212</v>
      </c>
      <c r="K30" s="2" t="s">
        <v>213</v>
      </c>
      <c r="L30" s="2"/>
      <c r="M30" s="2"/>
      <c r="N30" s="2" t="s">
        <v>207</v>
      </c>
    </row>
    <row r="31" spans="1:14" ht="28">
      <c r="A31" s="2" t="s">
        <v>316</v>
      </c>
      <c r="B31" s="2" t="s">
        <v>303</v>
      </c>
      <c r="C31" s="2" t="s">
        <v>317</v>
      </c>
      <c r="D31" s="2" t="s">
        <v>318</v>
      </c>
      <c r="E31" s="2" t="s">
        <v>211</v>
      </c>
      <c r="F31" s="3">
        <v>10.76995569</v>
      </c>
      <c r="G31" s="3">
        <v>106.6702161</v>
      </c>
      <c r="H31" s="2" t="s">
        <v>202</v>
      </c>
      <c r="I31" s="2" t="s">
        <v>306</v>
      </c>
      <c r="J31" s="2" t="s">
        <v>204</v>
      </c>
      <c r="K31" s="2" t="s">
        <v>205</v>
      </c>
      <c r="L31" s="2" t="s">
        <v>204</v>
      </c>
      <c r="M31" s="2" t="s">
        <v>206</v>
      </c>
      <c r="N31" s="2" t="s">
        <v>207</v>
      </c>
    </row>
    <row r="32" spans="1:14" ht="28">
      <c r="A32" s="2" t="s">
        <v>319</v>
      </c>
      <c r="B32" s="2" t="s">
        <v>303</v>
      </c>
      <c r="C32" s="2" t="s">
        <v>320</v>
      </c>
      <c r="D32" s="2" t="s">
        <v>321</v>
      </c>
      <c r="E32" s="2" t="s">
        <v>262</v>
      </c>
      <c r="F32" s="3">
        <v>10.865306500000001</v>
      </c>
      <c r="G32" s="3">
        <v>106.61623969999999</v>
      </c>
      <c r="H32" s="2" t="s">
        <v>202</v>
      </c>
      <c r="I32" s="2" t="s">
        <v>306</v>
      </c>
      <c r="J32" s="2" t="s">
        <v>212</v>
      </c>
      <c r="K32" s="2" t="s">
        <v>213</v>
      </c>
      <c r="L32" s="2"/>
      <c r="M32" s="2"/>
      <c r="N32" s="2" t="s">
        <v>207</v>
      </c>
    </row>
    <row r="33" spans="1:14" ht="28">
      <c r="A33" s="2" t="s">
        <v>322</v>
      </c>
      <c r="B33" s="2" t="s">
        <v>303</v>
      </c>
      <c r="C33" s="2" t="s">
        <v>323</v>
      </c>
      <c r="D33" s="2" t="s">
        <v>324</v>
      </c>
      <c r="E33" s="2" t="s">
        <v>10</v>
      </c>
      <c r="F33" s="3">
        <v>10.741131599999999</v>
      </c>
      <c r="G33" s="3">
        <v>106.7037716</v>
      </c>
      <c r="H33" s="2" t="s">
        <v>202</v>
      </c>
      <c r="I33" s="2" t="s">
        <v>306</v>
      </c>
      <c r="J33" s="2" t="s">
        <v>212</v>
      </c>
      <c r="K33" s="2" t="s">
        <v>213</v>
      </c>
      <c r="L33" s="2"/>
      <c r="M33" s="2"/>
      <c r="N33" s="2" t="s">
        <v>207</v>
      </c>
    </row>
    <row r="34" spans="1:14" ht="28">
      <c r="A34" s="2" t="s">
        <v>325</v>
      </c>
      <c r="B34" s="2" t="s">
        <v>303</v>
      </c>
      <c r="C34" s="2" t="s">
        <v>326</v>
      </c>
      <c r="D34" s="2" t="s">
        <v>327</v>
      </c>
      <c r="E34" s="2" t="s">
        <v>283</v>
      </c>
      <c r="F34" s="3">
        <v>10.83220588</v>
      </c>
      <c r="G34" s="3">
        <v>106.76317659999999</v>
      </c>
      <c r="H34" s="2" t="s">
        <v>202</v>
      </c>
      <c r="I34" s="2" t="s">
        <v>306</v>
      </c>
      <c r="J34" s="2" t="s">
        <v>204</v>
      </c>
      <c r="K34" s="2" t="s">
        <v>205</v>
      </c>
      <c r="L34" s="2" t="s">
        <v>204</v>
      </c>
      <c r="M34" s="2" t="s">
        <v>206</v>
      </c>
      <c r="N34" s="2" t="s">
        <v>207</v>
      </c>
    </row>
    <row r="35" spans="1:14" ht="28">
      <c r="A35" s="2" t="s">
        <v>328</v>
      </c>
      <c r="B35" s="2" t="s">
        <v>303</v>
      </c>
      <c r="C35" s="2" t="s">
        <v>329</v>
      </c>
      <c r="D35" s="2" t="s">
        <v>330</v>
      </c>
      <c r="E35" s="2" t="s">
        <v>283</v>
      </c>
      <c r="F35" s="3">
        <v>10.845912330000001</v>
      </c>
      <c r="G35" s="3">
        <v>106.82990359999999</v>
      </c>
      <c r="H35" s="2" t="s">
        <v>202</v>
      </c>
      <c r="I35" s="2" t="s">
        <v>306</v>
      </c>
      <c r="J35" s="2" t="s">
        <v>204</v>
      </c>
      <c r="K35" s="2" t="s">
        <v>205</v>
      </c>
      <c r="L35" s="2" t="s">
        <v>204</v>
      </c>
      <c r="M35" s="2" t="s">
        <v>206</v>
      </c>
      <c r="N35" s="2" t="s">
        <v>207</v>
      </c>
    </row>
    <row r="36" spans="1:14" ht="28">
      <c r="A36" s="2" t="s">
        <v>331</v>
      </c>
      <c r="B36" s="2" t="s">
        <v>303</v>
      </c>
      <c r="C36" s="2" t="s">
        <v>332</v>
      </c>
      <c r="D36" s="2" t="s">
        <v>333</v>
      </c>
      <c r="E36" s="2" t="s">
        <v>248</v>
      </c>
      <c r="F36" s="3">
        <v>10.7972982</v>
      </c>
      <c r="G36" s="3">
        <v>106.67897739999999</v>
      </c>
      <c r="H36" s="2" t="s">
        <v>202</v>
      </c>
      <c r="I36" s="2" t="s">
        <v>306</v>
      </c>
      <c r="J36" s="2" t="s">
        <v>212</v>
      </c>
      <c r="K36" s="2" t="s">
        <v>213</v>
      </c>
      <c r="L36" s="2"/>
      <c r="M36" s="2"/>
      <c r="N36" s="2" t="s">
        <v>207</v>
      </c>
    </row>
    <row r="37" spans="1:14" ht="28">
      <c r="A37" s="2" t="s">
        <v>334</v>
      </c>
      <c r="B37" s="2" t="s">
        <v>303</v>
      </c>
      <c r="C37" s="2" t="s">
        <v>335</v>
      </c>
      <c r="D37" s="2" t="s">
        <v>336</v>
      </c>
      <c r="E37" s="2" t="s">
        <v>248</v>
      </c>
      <c r="F37" s="3">
        <v>10.8021171</v>
      </c>
      <c r="G37" s="3">
        <v>106.64526789999999</v>
      </c>
      <c r="H37" s="2" t="s">
        <v>202</v>
      </c>
      <c r="I37" s="2" t="s">
        <v>306</v>
      </c>
      <c r="J37" s="2" t="s">
        <v>212</v>
      </c>
      <c r="K37" s="2" t="s">
        <v>213</v>
      </c>
      <c r="L37" s="2"/>
      <c r="M37" s="2"/>
      <c r="N37" s="2" t="s">
        <v>207</v>
      </c>
    </row>
    <row r="38" spans="1:14" ht="28">
      <c r="A38" s="2" t="s">
        <v>337</v>
      </c>
      <c r="B38" s="2" t="s">
        <v>303</v>
      </c>
      <c r="C38" s="2" t="s">
        <v>338</v>
      </c>
      <c r="D38" s="2" t="s">
        <v>339</v>
      </c>
      <c r="E38" s="2" t="s">
        <v>44</v>
      </c>
      <c r="F38" s="3">
        <v>10.782200700000001</v>
      </c>
      <c r="G38" s="3">
        <v>106.6360495</v>
      </c>
      <c r="H38" s="2" t="s">
        <v>202</v>
      </c>
      <c r="I38" s="2" t="s">
        <v>306</v>
      </c>
      <c r="J38" s="2" t="s">
        <v>212</v>
      </c>
      <c r="K38" s="2" t="s">
        <v>213</v>
      </c>
      <c r="L38" s="2"/>
      <c r="M38" s="2"/>
      <c r="N38" s="2" t="s">
        <v>207</v>
      </c>
    </row>
    <row r="39" spans="1:14">
      <c r="A39" s="2" t="s">
        <v>340</v>
      </c>
      <c r="B39" s="2" t="s">
        <v>341</v>
      </c>
      <c r="C39" s="2" t="s">
        <v>342</v>
      </c>
      <c r="D39" s="2" t="s">
        <v>343</v>
      </c>
      <c r="E39" s="2" t="s">
        <v>344</v>
      </c>
      <c r="F39" s="3">
        <v>10.761248</v>
      </c>
      <c r="G39" s="3">
        <v>106.675185</v>
      </c>
      <c r="H39" s="2" t="s">
        <v>202</v>
      </c>
      <c r="I39" s="2" t="s">
        <v>345</v>
      </c>
      <c r="J39" s="2" t="s">
        <v>212</v>
      </c>
      <c r="K39" s="2" t="s">
        <v>213</v>
      </c>
      <c r="L39" s="2"/>
      <c r="M39" s="2"/>
      <c r="N39" s="2" t="s">
        <v>346</v>
      </c>
    </row>
    <row r="40" spans="1:14">
      <c r="A40" s="2" t="s">
        <v>347</v>
      </c>
      <c r="B40" s="2" t="s">
        <v>341</v>
      </c>
      <c r="C40" s="2" t="s">
        <v>348</v>
      </c>
      <c r="D40" s="2" t="s">
        <v>349</v>
      </c>
      <c r="E40" s="2" t="s">
        <v>283</v>
      </c>
      <c r="F40" s="3">
        <v>10.849575829999999</v>
      </c>
      <c r="G40" s="3">
        <v>106.7666637</v>
      </c>
      <c r="H40" s="2" t="s">
        <v>202</v>
      </c>
      <c r="I40" s="2" t="s">
        <v>345</v>
      </c>
      <c r="J40" s="2" t="s">
        <v>204</v>
      </c>
      <c r="K40" s="2" t="s">
        <v>205</v>
      </c>
      <c r="L40" s="2" t="s">
        <v>204</v>
      </c>
      <c r="M40" s="2" t="s">
        <v>206</v>
      </c>
      <c r="N40" s="2" t="s">
        <v>346</v>
      </c>
    </row>
    <row r="41" spans="1:14" ht="28">
      <c r="A41" s="2" t="s">
        <v>350</v>
      </c>
      <c r="B41" s="2" t="s">
        <v>341</v>
      </c>
      <c r="C41" s="2" t="s">
        <v>351</v>
      </c>
      <c r="D41" s="2" t="s">
        <v>352</v>
      </c>
      <c r="E41" s="2" t="s">
        <v>248</v>
      </c>
      <c r="F41" s="3">
        <v>10.799936430000001</v>
      </c>
      <c r="G41" s="3">
        <v>106.66011450000001</v>
      </c>
      <c r="H41" s="2" t="s">
        <v>202</v>
      </c>
      <c r="I41" s="2" t="s">
        <v>345</v>
      </c>
      <c r="J41" s="2" t="s">
        <v>204</v>
      </c>
      <c r="K41" s="2" t="s">
        <v>205</v>
      </c>
      <c r="L41" s="2" t="s">
        <v>204</v>
      </c>
      <c r="M41" s="2" t="s">
        <v>206</v>
      </c>
      <c r="N41" s="2" t="s">
        <v>346</v>
      </c>
    </row>
    <row r="42" spans="1:14" ht="28">
      <c r="A42" s="2" t="s">
        <v>353</v>
      </c>
      <c r="B42" s="2" t="s">
        <v>354</v>
      </c>
      <c r="C42" s="2" t="s">
        <v>355</v>
      </c>
      <c r="D42" s="2" t="s">
        <v>356</v>
      </c>
      <c r="E42" s="2" t="s">
        <v>26</v>
      </c>
      <c r="F42" s="3">
        <v>10.81608482</v>
      </c>
      <c r="G42" s="3">
        <v>106.5955407</v>
      </c>
      <c r="H42" s="2" t="s">
        <v>202</v>
      </c>
      <c r="I42" s="2" t="s">
        <v>357</v>
      </c>
      <c r="J42" s="2" t="s">
        <v>204</v>
      </c>
      <c r="K42" s="2" t="s">
        <v>205</v>
      </c>
      <c r="L42" s="2" t="s">
        <v>204</v>
      </c>
      <c r="M42" s="2" t="s">
        <v>206</v>
      </c>
      <c r="N42" s="2" t="s">
        <v>207</v>
      </c>
    </row>
    <row r="43" spans="1:14" ht="28">
      <c r="A43" s="2" t="s">
        <v>358</v>
      </c>
      <c r="B43" s="2" t="s">
        <v>354</v>
      </c>
      <c r="C43" s="2" t="s">
        <v>359</v>
      </c>
      <c r="D43" s="2" t="s">
        <v>360</v>
      </c>
      <c r="E43" s="2" t="s">
        <v>258</v>
      </c>
      <c r="F43" s="3">
        <v>10.831414199999999</v>
      </c>
      <c r="G43" s="3">
        <v>106.6685215</v>
      </c>
      <c r="H43" s="2" t="s">
        <v>202</v>
      </c>
      <c r="I43" s="2" t="s">
        <v>361</v>
      </c>
      <c r="J43" s="2" t="s">
        <v>212</v>
      </c>
      <c r="K43" s="2" t="s">
        <v>213</v>
      </c>
      <c r="L43" s="2"/>
      <c r="M43" s="2"/>
      <c r="N43" s="2" t="s">
        <v>207</v>
      </c>
    </row>
    <row r="44" spans="1:14" ht="28">
      <c r="A44" s="2" t="s">
        <v>362</v>
      </c>
      <c r="B44" s="2" t="s">
        <v>354</v>
      </c>
      <c r="C44" s="2" t="s">
        <v>363</v>
      </c>
      <c r="D44" s="2" t="s">
        <v>364</v>
      </c>
      <c r="E44" s="2" t="s">
        <v>201</v>
      </c>
      <c r="F44" s="3">
        <v>10.769057</v>
      </c>
      <c r="G44" s="3">
        <v>106.69497</v>
      </c>
      <c r="H44" s="2" t="s">
        <v>202</v>
      </c>
      <c r="I44" s="2" t="s">
        <v>361</v>
      </c>
      <c r="J44" s="2" t="s">
        <v>212</v>
      </c>
      <c r="K44" s="2" t="s">
        <v>213</v>
      </c>
      <c r="L44" s="2"/>
      <c r="M44" s="2"/>
      <c r="N44" s="2" t="s">
        <v>207</v>
      </c>
    </row>
    <row r="45" spans="1:14" ht="28">
      <c r="A45" s="2" t="s">
        <v>365</v>
      </c>
      <c r="B45" s="2" t="s">
        <v>354</v>
      </c>
      <c r="C45" s="2" t="s">
        <v>366</v>
      </c>
      <c r="D45" s="2" t="s">
        <v>367</v>
      </c>
      <c r="E45" s="2" t="s">
        <v>201</v>
      </c>
      <c r="F45" s="3">
        <v>10.792293000000001</v>
      </c>
      <c r="G45" s="3">
        <v>106.693636</v>
      </c>
      <c r="H45" s="2" t="s">
        <v>202</v>
      </c>
      <c r="I45" s="2" t="s">
        <v>361</v>
      </c>
      <c r="J45" s="2" t="s">
        <v>212</v>
      </c>
      <c r="K45" s="2" t="s">
        <v>213</v>
      </c>
      <c r="L45" s="2"/>
      <c r="M45" s="2"/>
      <c r="N45" s="2" t="s">
        <v>207</v>
      </c>
    </row>
    <row r="46" spans="1:14" ht="28">
      <c r="A46" s="2" t="s">
        <v>368</v>
      </c>
      <c r="B46" s="2" t="s">
        <v>354</v>
      </c>
      <c r="C46" s="2" t="s">
        <v>369</v>
      </c>
      <c r="D46" s="2" t="s">
        <v>370</v>
      </c>
      <c r="E46" s="2" t="s">
        <v>211</v>
      </c>
      <c r="F46" s="3">
        <v>10.7702878</v>
      </c>
      <c r="G46" s="3">
        <v>106.6718249</v>
      </c>
      <c r="H46" s="2" t="s">
        <v>202</v>
      </c>
      <c r="I46" s="2" t="s">
        <v>361</v>
      </c>
      <c r="J46" s="2" t="s">
        <v>212</v>
      </c>
      <c r="K46" s="2" t="s">
        <v>213</v>
      </c>
      <c r="L46" s="2"/>
      <c r="M46" s="2"/>
      <c r="N46" s="2" t="s">
        <v>207</v>
      </c>
    </row>
    <row r="47" spans="1:14" ht="28">
      <c r="A47" s="2" t="s">
        <v>371</v>
      </c>
      <c r="B47" s="2" t="s">
        <v>354</v>
      </c>
      <c r="C47" s="2" t="s">
        <v>372</v>
      </c>
      <c r="D47" s="2" t="s">
        <v>373</v>
      </c>
      <c r="E47" s="2" t="s">
        <v>272</v>
      </c>
      <c r="F47" s="3">
        <v>10.759686</v>
      </c>
      <c r="G47" s="3">
        <v>106.698516</v>
      </c>
      <c r="H47" s="2" t="s">
        <v>202</v>
      </c>
      <c r="I47" s="2" t="s">
        <v>361</v>
      </c>
      <c r="J47" s="2" t="s">
        <v>212</v>
      </c>
      <c r="K47" s="2" t="s">
        <v>213</v>
      </c>
      <c r="L47" s="2"/>
      <c r="M47" s="2"/>
      <c r="N47" s="2" t="s">
        <v>207</v>
      </c>
    </row>
    <row r="48" spans="1:14" ht="28">
      <c r="A48" s="2" t="s">
        <v>374</v>
      </c>
      <c r="B48" s="2" t="s">
        <v>354</v>
      </c>
      <c r="C48" s="2" t="s">
        <v>375</v>
      </c>
      <c r="D48" s="2" t="s">
        <v>376</v>
      </c>
      <c r="E48" s="2" t="s">
        <v>276</v>
      </c>
      <c r="F48" s="3">
        <v>10.745405699999999</v>
      </c>
      <c r="G48" s="3">
        <v>106.62436719999999</v>
      </c>
      <c r="H48" s="2" t="s">
        <v>202</v>
      </c>
      <c r="I48" s="2" t="s">
        <v>361</v>
      </c>
      <c r="J48" s="2" t="s">
        <v>212</v>
      </c>
      <c r="K48" s="2" t="s">
        <v>213</v>
      </c>
      <c r="L48" s="2"/>
      <c r="M48" s="2"/>
      <c r="N48" s="2" t="s">
        <v>207</v>
      </c>
    </row>
    <row r="49" spans="1:14" ht="28">
      <c r="A49" s="2" t="s">
        <v>377</v>
      </c>
      <c r="B49" s="2" t="s">
        <v>354</v>
      </c>
      <c r="C49" s="2" t="s">
        <v>378</v>
      </c>
      <c r="D49" s="2" t="s">
        <v>379</v>
      </c>
      <c r="E49" s="2" t="s">
        <v>10</v>
      </c>
      <c r="F49" s="3">
        <v>10.7382475</v>
      </c>
      <c r="G49" s="3">
        <v>106.71717049999999</v>
      </c>
      <c r="H49" s="2" t="s">
        <v>202</v>
      </c>
      <c r="I49" s="2" t="s">
        <v>361</v>
      </c>
      <c r="J49" s="2" t="s">
        <v>212</v>
      </c>
      <c r="K49" s="2" t="s">
        <v>213</v>
      </c>
      <c r="L49" s="2"/>
      <c r="M49" s="2"/>
      <c r="N49" s="2" t="s">
        <v>207</v>
      </c>
    </row>
    <row r="50" spans="1:14" ht="28">
      <c r="A50" s="2" t="s">
        <v>380</v>
      </c>
      <c r="B50" s="2" t="s">
        <v>354</v>
      </c>
      <c r="C50" s="2" t="s">
        <v>381</v>
      </c>
      <c r="D50" s="2" t="s">
        <v>382</v>
      </c>
      <c r="E50" s="2" t="s">
        <v>283</v>
      </c>
      <c r="F50" s="3">
        <v>10.84642487</v>
      </c>
      <c r="G50" s="3">
        <v>106.7784492</v>
      </c>
      <c r="H50" s="2" t="s">
        <v>202</v>
      </c>
      <c r="I50" s="2" t="s">
        <v>361</v>
      </c>
      <c r="J50" s="2" t="s">
        <v>204</v>
      </c>
      <c r="K50" s="2" t="s">
        <v>205</v>
      </c>
      <c r="L50" s="2" t="s">
        <v>204</v>
      </c>
      <c r="M50" s="2" t="s">
        <v>206</v>
      </c>
      <c r="N50" s="2" t="s">
        <v>207</v>
      </c>
    </row>
    <row r="51" spans="1:14" ht="28">
      <c r="A51" s="2" t="s">
        <v>383</v>
      </c>
      <c r="B51" s="2" t="s">
        <v>354</v>
      </c>
      <c r="C51" s="2" t="s">
        <v>384</v>
      </c>
      <c r="D51" s="2" t="s">
        <v>385</v>
      </c>
      <c r="E51" s="2" t="s">
        <v>283</v>
      </c>
      <c r="F51" s="3">
        <v>10.85152031</v>
      </c>
      <c r="G51" s="3">
        <v>106.7561329</v>
      </c>
      <c r="H51" s="2" t="s">
        <v>202</v>
      </c>
      <c r="I51" s="2" t="s">
        <v>361</v>
      </c>
      <c r="J51" s="2" t="s">
        <v>204</v>
      </c>
      <c r="K51" s="2" t="s">
        <v>205</v>
      </c>
      <c r="L51" s="2" t="s">
        <v>204</v>
      </c>
      <c r="M51" s="2" t="s">
        <v>206</v>
      </c>
      <c r="N51" s="2" t="s">
        <v>207</v>
      </c>
    </row>
    <row r="52" spans="1:14" ht="28">
      <c r="A52" s="2" t="s">
        <v>386</v>
      </c>
      <c r="B52" s="2" t="s">
        <v>354</v>
      </c>
      <c r="C52" s="2" t="s">
        <v>387</v>
      </c>
      <c r="D52" s="2" t="s">
        <v>388</v>
      </c>
      <c r="E52" s="2" t="s">
        <v>283</v>
      </c>
      <c r="F52" s="3">
        <v>10.796315870000001</v>
      </c>
      <c r="G52" s="3">
        <v>106.7313704</v>
      </c>
      <c r="H52" s="2" t="s">
        <v>202</v>
      </c>
      <c r="I52" s="2" t="s">
        <v>361</v>
      </c>
      <c r="J52" s="2" t="s">
        <v>204</v>
      </c>
      <c r="K52" s="2" t="s">
        <v>205</v>
      </c>
      <c r="L52" s="2" t="s">
        <v>204</v>
      </c>
      <c r="M52" s="2" t="s">
        <v>206</v>
      </c>
      <c r="N52" s="2" t="s">
        <v>207</v>
      </c>
    </row>
    <row r="53" spans="1:14" ht="28">
      <c r="A53" s="2" t="s">
        <v>389</v>
      </c>
      <c r="B53" s="2" t="s">
        <v>354</v>
      </c>
      <c r="C53" s="2" t="s">
        <v>390</v>
      </c>
      <c r="D53" s="2" t="s">
        <v>391</v>
      </c>
      <c r="E53" s="2" t="s">
        <v>248</v>
      </c>
      <c r="F53" s="3">
        <v>10.79956552</v>
      </c>
      <c r="G53" s="3">
        <v>106.6596399</v>
      </c>
      <c r="H53" s="2" t="s">
        <v>202</v>
      </c>
      <c r="I53" s="2" t="s">
        <v>357</v>
      </c>
      <c r="J53" s="2" t="s">
        <v>204</v>
      </c>
      <c r="K53" s="2" t="s">
        <v>205</v>
      </c>
      <c r="L53" s="2" t="s">
        <v>204</v>
      </c>
      <c r="M53" s="2" t="s">
        <v>206</v>
      </c>
      <c r="N53" s="2" t="s">
        <v>207</v>
      </c>
    </row>
    <row r="54" spans="1:14" ht="28">
      <c r="A54" s="2" t="s">
        <v>392</v>
      </c>
      <c r="B54" s="2" t="s">
        <v>354</v>
      </c>
      <c r="C54" s="2" t="s">
        <v>393</v>
      </c>
      <c r="D54" s="2" t="s">
        <v>394</v>
      </c>
      <c r="E54" s="2" t="s">
        <v>248</v>
      </c>
      <c r="F54" s="3">
        <v>10.7782766</v>
      </c>
      <c r="G54" s="3">
        <v>106.64545</v>
      </c>
      <c r="H54" s="2" t="s">
        <v>202</v>
      </c>
      <c r="I54" s="2" t="s">
        <v>357</v>
      </c>
      <c r="J54" s="2" t="s">
        <v>212</v>
      </c>
      <c r="K54" s="2" t="s">
        <v>213</v>
      </c>
      <c r="L54" s="2"/>
      <c r="M54" s="2"/>
      <c r="N54" s="2" t="s">
        <v>207</v>
      </c>
    </row>
    <row r="55" spans="1:14" ht="28">
      <c r="A55" s="2" t="s">
        <v>395</v>
      </c>
      <c r="B55" s="2" t="s">
        <v>354</v>
      </c>
      <c r="C55" s="2" t="s">
        <v>396</v>
      </c>
      <c r="D55" s="2" t="s">
        <v>397</v>
      </c>
      <c r="E55" s="2" t="s">
        <v>44</v>
      </c>
      <c r="F55" s="3">
        <v>10.769652900000001</v>
      </c>
      <c r="G55" s="3">
        <v>106.63372320000001</v>
      </c>
      <c r="H55" s="2" t="s">
        <v>202</v>
      </c>
      <c r="I55" s="2" t="s">
        <v>357</v>
      </c>
      <c r="J55" s="2" t="s">
        <v>212</v>
      </c>
      <c r="K55" s="2" t="s">
        <v>213</v>
      </c>
      <c r="L55" s="2"/>
      <c r="M55" s="2"/>
      <c r="N55" s="2" t="s">
        <v>207</v>
      </c>
    </row>
    <row r="56" spans="1:14" ht="28">
      <c r="A56" s="2" t="s">
        <v>398</v>
      </c>
      <c r="B56" s="2" t="s">
        <v>354</v>
      </c>
      <c r="C56" s="2" t="s">
        <v>399</v>
      </c>
      <c r="D56" s="2" t="s">
        <v>400</v>
      </c>
      <c r="E56" s="2" t="s">
        <v>262</v>
      </c>
      <c r="F56" s="3">
        <v>10.864953011758514</v>
      </c>
      <c r="G56" s="3">
        <v>106.61372692835744</v>
      </c>
      <c r="H56" s="2" t="s">
        <v>401</v>
      </c>
      <c r="I56" s="2" t="s">
        <v>361</v>
      </c>
      <c r="J56" s="2" t="s">
        <v>204</v>
      </c>
      <c r="K56" s="2" t="s">
        <v>205</v>
      </c>
      <c r="L56" s="2" t="s">
        <v>204</v>
      </c>
      <c r="M56" s="2" t="s">
        <v>402</v>
      </c>
      <c r="N56" s="2" t="s">
        <v>207</v>
      </c>
    </row>
    <row r="57" spans="1:14" ht="28">
      <c r="A57" s="2" t="s">
        <v>403</v>
      </c>
      <c r="B57" s="2" t="s">
        <v>354</v>
      </c>
      <c r="C57" s="2" t="s">
        <v>404</v>
      </c>
      <c r="D57" s="2" t="s">
        <v>405</v>
      </c>
      <c r="E57" s="2" t="s">
        <v>262</v>
      </c>
      <c r="F57" s="3">
        <v>10.828923740639642</v>
      </c>
      <c r="G57" s="3">
        <v>106.62505553830177</v>
      </c>
      <c r="H57" s="2" t="s">
        <v>401</v>
      </c>
      <c r="I57" s="2" t="s">
        <v>361</v>
      </c>
      <c r="J57" s="2" t="s">
        <v>204</v>
      </c>
      <c r="K57" s="2" t="s">
        <v>205</v>
      </c>
      <c r="L57" s="2" t="s">
        <v>204</v>
      </c>
      <c r="M57" s="2" t="s">
        <v>402</v>
      </c>
      <c r="N57" s="2" t="s">
        <v>207</v>
      </c>
    </row>
    <row r="58" spans="1:14" ht="28">
      <c r="A58" s="2" t="s">
        <v>406</v>
      </c>
      <c r="B58" s="2" t="s">
        <v>354</v>
      </c>
      <c r="C58" s="2" t="s">
        <v>407</v>
      </c>
      <c r="D58" s="2" t="s">
        <v>408</v>
      </c>
      <c r="E58" s="2" t="s">
        <v>10</v>
      </c>
      <c r="F58" s="3">
        <v>10.748309376686652</v>
      </c>
      <c r="G58" s="3">
        <v>106.72873033815156</v>
      </c>
      <c r="H58" s="2" t="s">
        <v>401</v>
      </c>
      <c r="I58" s="2" t="s">
        <v>361</v>
      </c>
      <c r="J58" s="2" t="s">
        <v>204</v>
      </c>
      <c r="K58" s="2" t="s">
        <v>205</v>
      </c>
      <c r="L58" s="2" t="s">
        <v>204</v>
      </c>
      <c r="M58" s="2" t="s">
        <v>402</v>
      </c>
      <c r="N58" s="2" t="s">
        <v>207</v>
      </c>
    </row>
    <row r="59" spans="1:14" ht="28">
      <c r="A59" s="2" t="s">
        <v>409</v>
      </c>
      <c r="B59" s="2" t="s">
        <v>354</v>
      </c>
      <c r="C59" s="2" t="s">
        <v>410</v>
      </c>
      <c r="D59" s="2" t="s">
        <v>411</v>
      </c>
      <c r="E59" s="2" t="s">
        <v>221</v>
      </c>
      <c r="F59" s="3">
        <v>10.801996170283369</v>
      </c>
      <c r="G59" s="3">
        <v>106.7120888958232</v>
      </c>
      <c r="H59" s="2" t="s">
        <v>401</v>
      </c>
      <c r="I59" s="2" t="s">
        <v>361</v>
      </c>
      <c r="J59" s="2" t="s">
        <v>204</v>
      </c>
      <c r="K59" s="2" t="s">
        <v>205</v>
      </c>
      <c r="L59" s="2" t="s">
        <v>204</v>
      </c>
      <c r="M59" s="2" t="s">
        <v>402</v>
      </c>
      <c r="N59" s="2" t="s">
        <v>207</v>
      </c>
    </row>
    <row r="60" spans="1:14" ht="28">
      <c r="A60" s="2" t="s">
        <v>412</v>
      </c>
      <c r="B60" s="2" t="s">
        <v>354</v>
      </c>
      <c r="C60" s="2" t="s">
        <v>413</v>
      </c>
      <c r="D60" s="2" t="s">
        <v>414</v>
      </c>
      <c r="E60" s="2" t="s">
        <v>59</v>
      </c>
      <c r="F60" s="3">
        <v>10.904494238087477</v>
      </c>
      <c r="G60" s="3">
        <v>106.76827415349524</v>
      </c>
      <c r="H60" s="2" t="s">
        <v>401</v>
      </c>
      <c r="I60" s="2" t="s">
        <v>361</v>
      </c>
      <c r="J60" s="2" t="s">
        <v>204</v>
      </c>
      <c r="K60" s="2" t="s">
        <v>205</v>
      </c>
      <c r="L60" s="2" t="s">
        <v>204</v>
      </c>
      <c r="M60" s="2" t="s">
        <v>402</v>
      </c>
      <c r="N60" s="2" t="s">
        <v>207</v>
      </c>
    </row>
    <row r="61" spans="1:14" ht="28">
      <c r="A61" s="2" t="s">
        <v>415</v>
      </c>
      <c r="B61" s="2" t="s">
        <v>354</v>
      </c>
      <c r="C61" s="2" t="s">
        <v>416</v>
      </c>
      <c r="D61" s="2" t="s">
        <v>417</v>
      </c>
      <c r="E61" s="2" t="s">
        <v>100</v>
      </c>
      <c r="F61" s="3">
        <v>10.980725637319043</v>
      </c>
      <c r="G61" s="3">
        <v>106.66699645164708</v>
      </c>
      <c r="H61" s="2" t="s">
        <v>401</v>
      </c>
      <c r="I61" s="2" t="s">
        <v>361</v>
      </c>
      <c r="J61" s="2" t="s">
        <v>204</v>
      </c>
      <c r="K61" s="2" t="s">
        <v>205</v>
      </c>
      <c r="L61" s="2" t="s">
        <v>204</v>
      </c>
      <c r="M61" s="2" t="s">
        <v>402</v>
      </c>
      <c r="N61" s="2" t="s">
        <v>207</v>
      </c>
    </row>
    <row r="62" spans="1:14" ht="28">
      <c r="A62" s="2" t="s">
        <v>418</v>
      </c>
      <c r="B62" s="2" t="s">
        <v>354</v>
      </c>
      <c r="C62" s="2" t="s">
        <v>419</v>
      </c>
      <c r="D62" s="2" t="s">
        <v>420</v>
      </c>
      <c r="E62" s="2" t="s">
        <v>96</v>
      </c>
      <c r="F62" s="3">
        <v>10.354163972264349</v>
      </c>
      <c r="G62" s="3">
        <v>107.08359559766816</v>
      </c>
      <c r="H62" s="2" t="s">
        <v>401</v>
      </c>
      <c r="I62" s="2" t="s">
        <v>361</v>
      </c>
      <c r="J62" s="2" t="s">
        <v>204</v>
      </c>
      <c r="K62" s="2" t="s">
        <v>205</v>
      </c>
      <c r="L62" s="2" t="s">
        <v>204</v>
      </c>
      <c r="M62" s="2" t="s">
        <v>402</v>
      </c>
      <c r="N62" s="2" t="s">
        <v>207</v>
      </c>
    </row>
    <row r="63" spans="1:14" ht="28">
      <c r="A63" s="2" t="s">
        <v>421</v>
      </c>
      <c r="B63" s="2" t="s">
        <v>251</v>
      </c>
      <c r="C63" s="2" t="s">
        <v>422</v>
      </c>
      <c r="D63" s="2" t="s">
        <v>423</v>
      </c>
      <c r="E63" s="2" t="s">
        <v>100</v>
      </c>
      <c r="F63" s="3">
        <v>10.986896768525884</v>
      </c>
      <c r="G63" s="3">
        <v>106.66552026514027</v>
      </c>
      <c r="H63" s="2" t="s">
        <v>401</v>
      </c>
      <c r="I63" s="2" t="s">
        <v>254</v>
      </c>
      <c r="J63" s="2" t="s">
        <v>204</v>
      </c>
      <c r="K63" s="2" t="s">
        <v>205</v>
      </c>
      <c r="L63" s="2" t="s">
        <v>204</v>
      </c>
      <c r="M63" s="2" t="s">
        <v>402</v>
      </c>
      <c r="N63" s="2" t="s">
        <v>207</v>
      </c>
    </row>
    <row r="64" spans="1:14" ht="28">
      <c r="A64" s="2" t="s">
        <v>424</v>
      </c>
      <c r="B64" s="2" t="s">
        <v>251</v>
      </c>
      <c r="C64" s="2" t="s">
        <v>425</v>
      </c>
      <c r="D64" s="2" t="s">
        <v>426</v>
      </c>
      <c r="E64" s="2" t="s">
        <v>59</v>
      </c>
      <c r="F64" s="3">
        <v>10.896075197554149</v>
      </c>
      <c r="G64" s="3">
        <v>106.76727229767316</v>
      </c>
      <c r="H64" s="2" t="s">
        <v>401</v>
      </c>
      <c r="I64" s="2" t="s">
        <v>254</v>
      </c>
      <c r="J64" s="2" t="s">
        <v>204</v>
      </c>
      <c r="K64" s="2" t="s">
        <v>205</v>
      </c>
      <c r="L64" s="2" t="s">
        <v>204</v>
      </c>
      <c r="M64" s="2" t="s">
        <v>402</v>
      </c>
      <c r="N64" s="2" t="s">
        <v>207</v>
      </c>
    </row>
    <row r="65" spans="1:14" ht="28">
      <c r="A65" s="2" t="s">
        <v>427</v>
      </c>
      <c r="B65" s="2" t="s">
        <v>251</v>
      </c>
      <c r="C65" s="2" t="s">
        <v>428</v>
      </c>
      <c r="D65" s="2" t="s">
        <v>429</v>
      </c>
      <c r="E65" s="2" t="s">
        <v>96</v>
      </c>
      <c r="F65" s="3">
        <v>10.367975818050381</v>
      </c>
      <c r="G65" s="3">
        <v>107.0841261727504</v>
      </c>
      <c r="H65" s="2" t="s">
        <v>401</v>
      </c>
      <c r="I65" s="2" t="s">
        <v>254</v>
      </c>
      <c r="J65" s="2" t="s">
        <v>204</v>
      </c>
      <c r="K65" s="2" t="s">
        <v>205</v>
      </c>
      <c r="L65" s="2" t="s">
        <v>204</v>
      </c>
      <c r="M65" s="2" t="s">
        <v>402</v>
      </c>
      <c r="N65" s="2" t="s">
        <v>207</v>
      </c>
    </row>
    <row r="66" spans="1:14" ht="28">
      <c r="A66" s="2" t="s">
        <v>430</v>
      </c>
      <c r="B66" s="2" t="s">
        <v>251</v>
      </c>
      <c r="C66" s="2" t="s">
        <v>431</v>
      </c>
      <c r="D66" s="2" t="s">
        <v>432</v>
      </c>
      <c r="E66" s="2" t="s">
        <v>86</v>
      </c>
      <c r="F66" s="3">
        <v>10.493279128454828</v>
      </c>
      <c r="G66" s="3">
        <v>107.17098975164252</v>
      </c>
      <c r="H66" s="2" t="s">
        <v>401</v>
      </c>
      <c r="I66" s="2" t="s">
        <v>254</v>
      </c>
      <c r="J66" s="2" t="s">
        <v>204</v>
      </c>
      <c r="K66" s="2" t="s">
        <v>205</v>
      </c>
      <c r="L66" s="2" t="s">
        <v>204</v>
      </c>
      <c r="M66" s="2" t="s">
        <v>402</v>
      </c>
      <c r="N66" s="2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pane ySplit="1" topLeftCell="A2" activePane="bottomLeft" state="frozen"/>
      <selection pane="bottomLeft"/>
    </sheetView>
  </sheetViews>
  <sheetFormatPr defaultRowHeight="14"/>
  <cols>
    <col min="1" max="2" width="16" customWidth="1"/>
    <col min="3" max="4" width="18" customWidth="1"/>
    <col min="5" max="5" width="14" customWidth="1"/>
    <col min="6" max="8" width="16" customWidth="1"/>
    <col min="9" max="9" width="20" customWidth="1"/>
    <col min="10" max="10" width="30" customWidth="1"/>
    <col min="11" max="11" width="16" customWidth="1"/>
    <col min="12" max="12" width="18" customWidth="1"/>
    <col min="13" max="13" width="42" customWidth="1"/>
    <col min="14" max="14" width="55" customWidth="1"/>
    <col min="15" max="15" width="45" customWidth="1"/>
  </cols>
  <sheetData>
    <row r="1" spans="1:15" ht="42">
      <c r="A1" s="1" t="s">
        <v>187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445</v>
      </c>
      <c r="O1" s="1" t="s">
        <v>446</v>
      </c>
    </row>
    <row r="2" spans="1:15" ht="28">
      <c r="A2" s="2" t="s">
        <v>86</v>
      </c>
      <c r="B2" s="2">
        <v>1</v>
      </c>
      <c r="C2" s="2">
        <v>1</v>
      </c>
      <c r="D2" s="2">
        <v>1</v>
      </c>
      <c r="E2" s="2">
        <v>0</v>
      </c>
      <c r="F2" s="2" t="s">
        <v>213</v>
      </c>
      <c r="G2" s="2">
        <v>1.54</v>
      </c>
      <c r="H2" s="2">
        <v>8</v>
      </c>
      <c r="I2" s="2" t="s">
        <v>447</v>
      </c>
      <c r="J2" s="2" t="s">
        <v>251</v>
      </c>
      <c r="K2" s="2">
        <v>1</v>
      </c>
      <c r="L2" s="2" t="s">
        <v>205</v>
      </c>
      <c r="M2" s="2" t="s">
        <v>448</v>
      </c>
      <c r="N2" s="2" t="s">
        <v>449</v>
      </c>
      <c r="O2" s="2" t="s">
        <v>450</v>
      </c>
    </row>
    <row r="3" spans="1:15" ht="56">
      <c r="A3" s="2" t="s">
        <v>221</v>
      </c>
      <c r="B3" s="2">
        <v>6</v>
      </c>
      <c r="C3" s="2">
        <v>6</v>
      </c>
      <c r="D3" s="2">
        <v>6</v>
      </c>
      <c r="E3" s="2">
        <v>0</v>
      </c>
      <c r="F3" s="2" t="s">
        <v>213</v>
      </c>
      <c r="G3" s="2">
        <v>9.23</v>
      </c>
      <c r="H3" s="2">
        <v>3</v>
      </c>
      <c r="I3" s="2" t="s">
        <v>451</v>
      </c>
      <c r="J3" s="2" t="s">
        <v>452</v>
      </c>
      <c r="K3" s="2">
        <v>1</v>
      </c>
      <c r="L3" s="2" t="s">
        <v>205</v>
      </c>
      <c r="M3" s="2" t="s">
        <v>448</v>
      </c>
      <c r="N3" s="2" t="s">
        <v>449</v>
      </c>
      <c r="O3" s="2" t="s">
        <v>450</v>
      </c>
    </row>
    <row r="4" spans="1:15" ht="28">
      <c r="A4" s="2" t="s">
        <v>26</v>
      </c>
      <c r="B4" s="2">
        <v>3</v>
      </c>
      <c r="C4" s="2">
        <v>3</v>
      </c>
      <c r="D4" s="2">
        <v>3</v>
      </c>
      <c r="E4" s="2">
        <v>0</v>
      </c>
      <c r="F4" s="2" t="s">
        <v>213</v>
      </c>
      <c r="G4" s="2">
        <v>4.62</v>
      </c>
      <c r="H4" s="2">
        <v>6</v>
      </c>
      <c r="I4" s="2" t="s">
        <v>453</v>
      </c>
      <c r="J4" s="2" t="s">
        <v>454</v>
      </c>
      <c r="K4" s="2">
        <v>1</v>
      </c>
      <c r="L4" s="2" t="s">
        <v>205</v>
      </c>
      <c r="M4" s="2" t="s">
        <v>448</v>
      </c>
      <c r="N4" s="2" t="s">
        <v>449</v>
      </c>
      <c r="O4" s="2" t="s">
        <v>450</v>
      </c>
    </row>
    <row r="5" spans="1:15" ht="28">
      <c r="A5" s="2" t="s">
        <v>59</v>
      </c>
      <c r="B5" s="2">
        <v>2</v>
      </c>
      <c r="C5" s="2">
        <v>2</v>
      </c>
      <c r="D5" s="2">
        <v>2</v>
      </c>
      <c r="E5" s="2">
        <v>0</v>
      </c>
      <c r="F5" s="2" t="s">
        <v>213</v>
      </c>
      <c r="G5" s="2">
        <v>3.08</v>
      </c>
      <c r="H5" s="2">
        <v>7</v>
      </c>
      <c r="I5" s="2" t="s">
        <v>447</v>
      </c>
      <c r="J5" s="2" t="s">
        <v>455</v>
      </c>
      <c r="K5" s="2">
        <v>1</v>
      </c>
      <c r="L5" s="2" t="s">
        <v>205</v>
      </c>
      <c r="M5" s="2" t="s">
        <v>448</v>
      </c>
      <c r="N5" s="2" t="s">
        <v>449</v>
      </c>
      <c r="O5" s="2" t="s">
        <v>450</v>
      </c>
    </row>
    <row r="6" spans="1:15" ht="28">
      <c r="A6" s="2" t="s">
        <v>258</v>
      </c>
      <c r="B6" s="2">
        <v>3</v>
      </c>
      <c r="C6" s="2">
        <v>3</v>
      </c>
      <c r="D6" s="2">
        <v>3</v>
      </c>
      <c r="E6" s="2">
        <v>0</v>
      </c>
      <c r="F6" s="2" t="s">
        <v>213</v>
      </c>
      <c r="G6" s="2">
        <v>4.62</v>
      </c>
      <c r="H6" s="2">
        <v>6</v>
      </c>
      <c r="I6" s="2" t="s">
        <v>453</v>
      </c>
      <c r="J6" s="2" t="s">
        <v>456</v>
      </c>
      <c r="K6" s="2">
        <v>1</v>
      </c>
      <c r="L6" s="2" t="s">
        <v>205</v>
      </c>
      <c r="M6" s="2" t="s">
        <v>448</v>
      </c>
      <c r="N6" s="2" t="s">
        <v>449</v>
      </c>
      <c r="O6" s="2" t="s">
        <v>450</v>
      </c>
    </row>
    <row r="7" spans="1:15" ht="28">
      <c r="A7" s="2" t="s">
        <v>76</v>
      </c>
      <c r="B7" s="2">
        <v>1</v>
      </c>
      <c r="C7" s="2">
        <v>1</v>
      </c>
      <c r="D7" s="2">
        <v>1</v>
      </c>
      <c r="E7" s="2">
        <v>0</v>
      </c>
      <c r="F7" s="2" t="s">
        <v>213</v>
      </c>
      <c r="G7" s="2">
        <v>1.54</v>
      </c>
      <c r="H7" s="2">
        <v>8</v>
      </c>
      <c r="I7" s="2" t="s">
        <v>447</v>
      </c>
      <c r="J7" s="2" t="s">
        <v>303</v>
      </c>
      <c r="K7" s="2">
        <v>1</v>
      </c>
      <c r="L7" s="2" t="s">
        <v>205</v>
      </c>
      <c r="M7" s="2" t="s">
        <v>448</v>
      </c>
      <c r="N7" s="2" t="s">
        <v>449</v>
      </c>
      <c r="O7" s="2" t="s">
        <v>450</v>
      </c>
    </row>
    <row r="8" spans="1:15" ht="28">
      <c r="A8" s="2" t="s">
        <v>201</v>
      </c>
      <c r="B8" s="2">
        <v>5</v>
      </c>
      <c r="C8" s="2">
        <v>5</v>
      </c>
      <c r="D8" s="2">
        <v>4</v>
      </c>
      <c r="E8" s="2">
        <v>0</v>
      </c>
      <c r="F8" s="2" t="s">
        <v>213</v>
      </c>
      <c r="G8" s="2">
        <v>7.69</v>
      </c>
      <c r="H8" s="2">
        <v>4</v>
      </c>
      <c r="I8" s="2" t="s">
        <v>453</v>
      </c>
      <c r="J8" s="2" t="s">
        <v>354</v>
      </c>
      <c r="K8" s="2">
        <v>2</v>
      </c>
      <c r="L8" s="2" t="s">
        <v>205</v>
      </c>
      <c r="M8" s="2" t="s">
        <v>448</v>
      </c>
      <c r="N8" s="2" t="s">
        <v>449</v>
      </c>
      <c r="O8" s="2" t="s">
        <v>450</v>
      </c>
    </row>
    <row r="9" spans="1:15" ht="28">
      <c r="A9" s="2" t="s">
        <v>211</v>
      </c>
      <c r="B9" s="2">
        <v>6</v>
      </c>
      <c r="C9" s="2">
        <v>6</v>
      </c>
      <c r="D9" s="2">
        <v>5</v>
      </c>
      <c r="E9" s="2">
        <v>0</v>
      </c>
      <c r="F9" s="2" t="s">
        <v>213</v>
      </c>
      <c r="G9" s="2">
        <v>9.23</v>
      </c>
      <c r="H9" s="2">
        <v>3</v>
      </c>
      <c r="I9" s="2" t="s">
        <v>451</v>
      </c>
      <c r="J9" s="2" t="s">
        <v>218</v>
      </c>
      <c r="K9" s="2">
        <v>2</v>
      </c>
      <c r="L9" s="2" t="s">
        <v>205</v>
      </c>
      <c r="M9" s="2" t="s">
        <v>448</v>
      </c>
      <c r="N9" s="2" t="s">
        <v>449</v>
      </c>
      <c r="O9" s="2" t="s">
        <v>450</v>
      </c>
    </row>
    <row r="10" spans="1:15" ht="28">
      <c r="A10" s="2" t="s">
        <v>262</v>
      </c>
      <c r="B10" s="2">
        <v>4</v>
      </c>
      <c r="C10" s="2">
        <v>4</v>
      </c>
      <c r="D10" s="2">
        <v>3</v>
      </c>
      <c r="E10" s="2">
        <v>0</v>
      </c>
      <c r="F10" s="2" t="s">
        <v>213</v>
      </c>
      <c r="G10" s="2">
        <v>6.15</v>
      </c>
      <c r="H10" s="2">
        <v>5</v>
      </c>
      <c r="I10" s="2" t="s">
        <v>453</v>
      </c>
      <c r="J10" s="2" t="s">
        <v>354</v>
      </c>
      <c r="K10" s="2">
        <v>2</v>
      </c>
      <c r="L10" s="2" t="s">
        <v>205</v>
      </c>
      <c r="M10" s="2" t="s">
        <v>448</v>
      </c>
      <c r="N10" s="2" t="s">
        <v>449</v>
      </c>
      <c r="O10" s="2" t="s">
        <v>450</v>
      </c>
    </row>
    <row r="11" spans="1:15" ht="28">
      <c r="A11" s="2" t="s">
        <v>243</v>
      </c>
      <c r="B11" s="2">
        <v>3</v>
      </c>
      <c r="C11" s="2">
        <v>3</v>
      </c>
      <c r="D11" s="2">
        <v>2</v>
      </c>
      <c r="E11" s="2">
        <v>0</v>
      </c>
      <c r="F11" s="2" t="s">
        <v>213</v>
      </c>
      <c r="G11" s="2">
        <v>4.62</v>
      </c>
      <c r="H11" s="2">
        <v>6</v>
      </c>
      <c r="I11" s="2" t="s">
        <v>453</v>
      </c>
      <c r="J11" s="2" t="s">
        <v>251</v>
      </c>
      <c r="K11" s="2">
        <v>2</v>
      </c>
      <c r="L11" s="2" t="s">
        <v>205</v>
      </c>
      <c r="M11" s="2" t="s">
        <v>448</v>
      </c>
      <c r="N11" s="2" t="s">
        <v>449</v>
      </c>
      <c r="O11" s="2" t="s">
        <v>450</v>
      </c>
    </row>
    <row r="12" spans="1:15" ht="28">
      <c r="A12" s="2" t="s">
        <v>272</v>
      </c>
      <c r="B12" s="2">
        <v>2</v>
      </c>
      <c r="C12" s="2">
        <v>2</v>
      </c>
      <c r="D12" s="2">
        <v>2</v>
      </c>
      <c r="E12" s="2">
        <v>0</v>
      </c>
      <c r="F12" s="2" t="s">
        <v>213</v>
      </c>
      <c r="G12" s="2">
        <v>3.08</v>
      </c>
      <c r="H12" s="2">
        <v>7</v>
      </c>
      <c r="I12" s="2" t="s">
        <v>447</v>
      </c>
      <c r="J12" s="2" t="s">
        <v>457</v>
      </c>
      <c r="K12" s="2">
        <v>1</v>
      </c>
      <c r="L12" s="2" t="s">
        <v>205</v>
      </c>
      <c r="M12" s="2" t="s">
        <v>448</v>
      </c>
      <c r="N12" s="2" t="s">
        <v>449</v>
      </c>
      <c r="O12" s="2" t="s">
        <v>450</v>
      </c>
    </row>
    <row r="13" spans="1:15" ht="28">
      <c r="A13" s="2" t="s">
        <v>344</v>
      </c>
      <c r="B13" s="2">
        <v>1</v>
      </c>
      <c r="C13" s="2">
        <v>0</v>
      </c>
      <c r="D13" s="2">
        <v>0</v>
      </c>
      <c r="E13" s="2">
        <v>1</v>
      </c>
      <c r="F13" s="2" t="s">
        <v>205</v>
      </c>
      <c r="G13" s="2">
        <v>1.54</v>
      </c>
      <c r="H13" s="2">
        <v>8</v>
      </c>
      <c r="I13" s="2" t="s">
        <v>447</v>
      </c>
      <c r="J13" s="2" t="s">
        <v>341</v>
      </c>
      <c r="K13" s="2">
        <v>1</v>
      </c>
      <c r="L13" s="2" t="s">
        <v>205</v>
      </c>
      <c r="M13" s="2" t="s">
        <v>448</v>
      </c>
      <c r="N13" s="2" t="s">
        <v>449</v>
      </c>
      <c r="O13" s="2" t="s">
        <v>450</v>
      </c>
    </row>
    <row r="14" spans="1:15" ht="28">
      <c r="A14" s="2" t="s">
        <v>276</v>
      </c>
      <c r="B14" s="2">
        <v>2</v>
      </c>
      <c r="C14" s="2">
        <v>2</v>
      </c>
      <c r="D14" s="2">
        <v>2</v>
      </c>
      <c r="E14" s="2">
        <v>0</v>
      </c>
      <c r="F14" s="2" t="s">
        <v>213</v>
      </c>
      <c r="G14" s="2">
        <v>3.08</v>
      </c>
      <c r="H14" s="2">
        <v>7</v>
      </c>
      <c r="I14" s="2" t="s">
        <v>447</v>
      </c>
      <c r="J14" s="2" t="s">
        <v>457</v>
      </c>
      <c r="K14" s="2">
        <v>1</v>
      </c>
      <c r="L14" s="2" t="s">
        <v>205</v>
      </c>
      <c r="M14" s="2" t="s">
        <v>448</v>
      </c>
      <c r="N14" s="2" t="s">
        <v>449</v>
      </c>
      <c r="O14" s="2" t="s">
        <v>450</v>
      </c>
    </row>
    <row r="15" spans="1:15" ht="28">
      <c r="A15" s="2" t="s">
        <v>10</v>
      </c>
      <c r="B15" s="2">
        <v>4</v>
      </c>
      <c r="C15" s="2">
        <v>4</v>
      </c>
      <c r="D15" s="2">
        <v>3</v>
      </c>
      <c r="E15" s="2">
        <v>0</v>
      </c>
      <c r="F15" s="2" t="s">
        <v>213</v>
      </c>
      <c r="G15" s="2">
        <v>6.15</v>
      </c>
      <c r="H15" s="2">
        <v>5</v>
      </c>
      <c r="I15" s="2" t="s">
        <v>453</v>
      </c>
      <c r="J15" s="2" t="s">
        <v>354</v>
      </c>
      <c r="K15" s="2">
        <v>2</v>
      </c>
      <c r="L15" s="2" t="s">
        <v>205</v>
      </c>
      <c r="M15" s="2" t="s">
        <v>448</v>
      </c>
      <c r="N15" s="2" t="s">
        <v>449</v>
      </c>
      <c r="O15" s="2" t="s">
        <v>450</v>
      </c>
    </row>
    <row r="16" spans="1:15" ht="28">
      <c r="A16" s="2" t="s">
        <v>100</v>
      </c>
      <c r="B16" s="2">
        <v>2</v>
      </c>
      <c r="C16" s="2">
        <v>2</v>
      </c>
      <c r="D16" s="2">
        <v>2</v>
      </c>
      <c r="E16" s="2">
        <v>0</v>
      </c>
      <c r="F16" s="2" t="s">
        <v>213</v>
      </c>
      <c r="G16" s="2">
        <v>3.08</v>
      </c>
      <c r="H16" s="2">
        <v>7</v>
      </c>
      <c r="I16" s="2" t="s">
        <v>447</v>
      </c>
      <c r="J16" s="2" t="s">
        <v>455</v>
      </c>
      <c r="K16" s="2">
        <v>1</v>
      </c>
      <c r="L16" s="2" t="s">
        <v>205</v>
      </c>
      <c r="M16" s="2" t="s">
        <v>448</v>
      </c>
      <c r="N16" s="2" t="s">
        <v>449</v>
      </c>
      <c r="O16" s="2" t="s">
        <v>450</v>
      </c>
    </row>
    <row r="17" spans="1:15" ht="28">
      <c r="A17" s="2" t="s">
        <v>283</v>
      </c>
      <c r="B17" s="2">
        <v>8</v>
      </c>
      <c r="C17" s="2">
        <v>7</v>
      </c>
      <c r="D17" s="2">
        <v>3</v>
      </c>
      <c r="E17" s="2">
        <v>1</v>
      </c>
      <c r="F17" s="2" t="s">
        <v>205</v>
      </c>
      <c r="G17" s="2">
        <v>12.31</v>
      </c>
      <c r="H17" s="2">
        <v>1</v>
      </c>
      <c r="I17" s="2" t="s">
        <v>451</v>
      </c>
      <c r="J17" s="2" t="s">
        <v>354</v>
      </c>
      <c r="K17" s="2">
        <v>3</v>
      </c>
      <c r="L17" s="2" t="s">
        <v>205</v>
      </c>
      <c r="M17" s="2" t="s">
        <v>448</v>
      </c>
      <c r="N17" s="2" t="s">
        <v>449</v>
      </c>
      <c r="O17" s="2" t="s">
        <v>450</v>
      </c>
    </row>
    <row r="18" spans="1:15" ht="28">
      <c r="A18" s="2" t="s">
        <v>248</v>
      </c>
      <c r="B18" s="2">
        <v>7</v>
      </c>
      <c r="C18" s="2">
        <v>6</v>
      </c>
      <c r="D18" s="2">
        <v>4</v>
      </c>
      <c r="E18" s="2">
        <v>1</v>
      </c>
      <c r="F18" s="2" t="s">
        <v>205</v>
      </c>
      <c r="G18" s="2">
        <v>10.77</v>
      </c>
      <c r="H18" s="2">
        <v>2</v>
      </c>
      <c r="I18" s="2" t="s">
        <v>451</v>
      </c>
      <c r="J18" s="2" t="s">
        <v>458</v>
      </c>
      <c r="K18" s="2">
        <v>2</v>
      </c>
      <c r="L18" s="2" t="s">
        <v>205</v>
      </c>
      <c r="M18" s="2" t="s">
        <v>448</v>
      </c>
      <c r="N18" s="2" t="s">
        <v>449</v>
      </c>
      <c r="O18" s="2" t="s">
        <v>450</v>
      </c>
    </row>
    <row r="19" spans="1:15" ht="28">
      <c r="A19" s="2" t="s">
        <v>44</v>
      </c>
      <c r="B19" s="2">
        <v>3</v>
      </c>
      <c r="C19" s="2">
        <v>3</v>
      </c>
      <c r="D19" s="2">
        <v>3</v>
      </c>
      <c r="E19" s="2">
        <v>0</v>
      </c>
      <c r="F19" s="2" t="s">
        <v>213</v>
      </c>
      <c r="G19" s="2">
        <v>4.62</v>
      </c>
      <c r="H19" s="2">
        <v>6</v>
      </c>
      <c r="I19" s="2" t="s">
        <v>453</v>
      </c>
      <c r="J19" s="2" t="s">
        <v>459</v>
      </c>
      <c r="K19" s="2">
        <v>1</v>
      </c>
      <c r="L19" s="2" t="s">
        <v>205</v>
      </c>
      <c r="M19" s="2" t="s">
        <v>448</v>
      </c>
      <c r="N19" s="2" t="s">
        <v>449</v>
      </c>
      <c r="O19" s="2" t="s">
        <v>450</v>
      </c>
    </row>
    <row r="20" spans="1:15" ht="28">
      <c r="A20" s="2" t="s">
        <v>96</v>
      </c>
      <c r="B20" s="2">
        <v>2</v>
      </c>
      <c r="C20" s="2">
        <v>2</v>
      </c>
      <c r="D20" s="2">
        <v>2</v>
      </c>
      <c r="E20" s="2">
        <v>0</v>
      </c>
      <c r="F20" s="2" t="s">
        <v>213</v>
      </c>
      <c r="G20" s="2">
        <v>3.08</v>
      </c>
      <c r="H20" s="2">
        <v>7</v>
      </c>
      <c r="I20" s="2" t="s">
        <v>447</v>
      </c>
      <c r="J20" s="2" t="s">
        <v>455</v>
      </c>
      <c r="K20" s="2">
        <v>1</v>
      </c>
      <c r="L20" s="2" t="s">
        <v>205</v>
      </c>
      <c r="M20" s="2" t="s">
        <v>448</v>
      </c>
      <c r="N20" s="2" t="s">
        <v>449</v>
      </c>
      <c r="O20" s="2" t="s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3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2" width="20" customWidth="1"/>
    <col min="3" max="3" width="28" customWidth="1"/>
    <col min="4" max="4" width="16" customWidth="1"/>
    <col min="5" max="5" width="42" customWidth="1"/>
    <col min="6" max="7" width="13" customWidth="1"/>
    <col min="8" max="8" width="16" customWidth="1"/>
    <col min="9" max="10" width="12" customWidth="1"/>
    <col min="11" max="11" width="26" customWidth="1"/>
    <col min="12" max="12" width="22" customWidth="1"/>
    <col min="13" max="13" width="55" customWidth="1"/>
  </cols>
  <sheetData>
    <row r="1" spans="1:13">
      <c r="A1" s="9" t="s">
        <v>183</v>
      </c>
      <c r="B1" s="9" t="s">
        <v>184</v>
      </c>
      <c r="C1" s="9" t="s">
        <v>185</v>
      </c>
      <c r="D1" s="9" t="s">
        <v>187</v>
      </c>
      <c r="E1" s="9" t="s">
        <v>186</v>
      </c>
      <c r="F1" s="9" t="s">
        <v>188</v>
      </c>
      <c r="G1" s="9" t="s">
        <v>189</v>
      </c>
      <c r="H1" s="9" t="s">
        <v>460</v>
      </c>
      <c r="I1" s="9" t="s">
        <v>461</v>
      </c>
      <c r="J1" s="9" t="s">
        <v>462</v>
      </c>
      <c r="K1" s="9" t="s">
        <v>463</v>
      </c>
      <c r="L1" s="9" t="s">
        <v>464</v>
      </c>
      <c r="M1" s="9" t="s">
        <v>465</v>
      </c>
    </row>
    <row r="2" spans="1:13" ht="28">
      <c r="A2" s="2" t="s">
        <v>197</v>
      </c>
      <c r="B2" s="2" t="s">
        <v>198</v>
      </c>
      <c r="C2" s="2" t="s">
        <v>199</v>
      </c>
      <c r="D2" s="2" t="s">
        <v>201</v>
      </c>
      <c r="E2" s="2" t="s">
        <v>200</v>
      </c>
      <c r="F2" s="2">
        <v>10.768887769999999</v>
      </c>
      <c r="G2" s="2">
        <v>106.6946753</v>
      </c>
      <c r="H2" s="4">
        <v>2.2923017906265239</v>
      </c>
      <c r="I2" s="2" t="s">
        <v>213</v>
      </c>
      <c r="J2" s="2" t="s">
        <v>213</v>
      </c>
      <c r="K2" s="2" t="s">
        <v>342</v>
      </c>
      <c r="L2" s="2" t="s">
        <v>466</v>
      </c>
      <c r="M2" s="2" t="s">
        <v>467</v>
      </c>
    </row>
    <row r="3" spans="1:13" ht="28">
      <c r="A3" s="2" t="s">
        <v>208</v>
      </c>
      <c r="B3" s="2" t="s">
        <v>198</v>
      </c>
      <c r="C3" s="2" t="s">
        <v>209</v>
      </c>
      <c r="D3" s="2" t="s">
        <v>211</v>
      </c>
      <c r="E3" s="2" t="s">
        <v>210</v>
      </c>
      <c r="F3" s="2">
        <v>10.7687641</v>
      </c>
      <c r="G3" s="2">
        <v>106.6689417</v>
      </c>
      <c r="H3" s="4">
        <v>1.0787093728279653</v>
      </c>
      <c r="I3" s="2" t="s">
        <v>213</v>
      </c>
      <c r="J3" s="2" t="s">
        <v>213</v>
      </c>
      <c r="K3" s="2" t="s">
        <v>342</v>
      </c>
      <c r="L3" s="2" t="s">
        <v>466</v>
      </c>
      <c r="M3" s="2" t="s">
        <v>467</v>
      </c>
    </row>
    <row r="4" spans="1:13" ht="28">
      <c r="A4" s="2" t="s">
        <v>214</v>
      </c>
      <c r="B4" s="2" t="s">
        <v>198</v>
      </c>
      <c r="C4" s="2" t="s">
        <v>215</v>
      </c>
      <c r="D4" s="2" t="s">
        <v>44</v>
      </c>
      <c r="E4" s="2" t="s">
        <v>216</v>
      </c>
      <c r="F4" s="2">
        <v>10.817034899999999</v>
      </c>
      <c r="G4" s="2">
        <v>106.6316769</v>
      </c>
      <c r="H4" s="4">
        <v>3.6417244666910662</v>
      </c>
      <c r="I4" s="2" t="s">
        <v>205</v>
      </c>
      <c r="J4" s="2" t="s">
        <v>213</v>
      </c>
      <c r="K4" s="2" t="s">
        <v>351</v>
      </c>
      <c r="L4" s="2" t="s">
        <v>466</v>
      </c>
      <c r="M4" s="2" t="s">
        <v>467</v>
      </c>
    </row>
    <row r="5" spans="1:13" ht="28">
      <c r="A5" s="2" t="s">
        <v>217</v>
      </c>
      <c r="B5" s="2" t="s">
        <v>218</v>
      </c>
      <c r="C5" s="2" t="s">
        <v>219</v>
      </c>
      <c r="D5" s="2" t="s">
        <v>221</v>
      </c>
      <c r="E5" s="2" t="s">
        <v>220</v>
      </c>
      <c r="F5" s="2">
        <v>10.80180612</v>
      </c>
      <c r="G5" s="2">
        <v>106.71072119999999</v>
      </c>
      <c r="H5" s="4">
        <v>5.531427290668776</v>
      </c>
      <c r="I5" s="2" t="s">
        <v>205</v>
      </c>
      <c r="J5" s="2" t="s">
        <v>205</v>
      </c>
      <c r="K5" s="2" t="s">
        <v>351</v>
      </c>
      <c r="L5" s="2" t="s">
        <v>466</v>
      </c>
      <c r="M5" s="2" t="s">
        <v>467</v>
      </c>
    </row>
    <row r="6" spans="1:13" ht="28">
      <c r="A6" s="2" t="s">
        <v>223</v>
      </c>
      <c r="B6" s="2" t="s">
        <v>218</v>
      </c>
      <c r="C6" s="2" t="s">
        <v>224</v>
      </c>
      <c r="D6" s="2" t="s">
        <v>26</v>
      </c>
      <c r="E6" s="2" t="s">
        <v>225</v>
      </c>
      <c r="F6" s="2">
        <v>10.738674530000001</v>
      </c>
      <c r="G6" s="2">
        <v>106.61508569999999</v>
      </c>
      <c r="H6" s="4">
        <v>7.0289135162144261</v>
      </c>
      <c r="I6" s="2" t="s">
        <v>205</v>
      </c>
      <c r="J6" s="2" t="s">
        <v>205</v>
      </c>
      <c r="K6" s="2" t="s">
        <v>342</v>
      </c>
      <c r="L6" s="2" t="s">
        <v>466</v>
      </c>
      <c r="M6" s="2" t="s">
        <v>467</v>
      </c>
    </row>
    <row r="7" spans="1:13" ht="28">
      <c r="A7" s="2" t="s">
        <v>226</v>
      </c>
      <c r="B7" s="2" t="s">
        <v>218</v>
      </c>
      <c r="C7" s="2" t="s">
        <v>227</v>
      </c>
      <c r="D7" s="2" t="s">
        <v>201</v>
      </c>
      <c r="E7" s="2" t="s">
        <v>228</v>
      </c>
      <c r="F7" s="2">
        <v>10.7666048</v>
      </c>
      <c r="G7" s="2">
        <v>106.69215440000001</v>
      </c>
      <c r="H7" s="4">
        <v>1.9470599244687319</v>
      </c>
      <c r="I7" s="2" t="s">
        <v>213</v>
      </c>
      <c r="J7" s="2" t="s">
        <v>213</v>
      </c>
      <c r="K7" s="2" t="s">
        <v>342</v>
      </c>
      <c r="L7" s="2" t="s">
        <v>466</v>
      </c>
      <c r="M7" s="2" t="s">
        <v>467</v>
      </c>
    </row>
    <row r="8" spans="1:13" ht="28">
      <c r="A8" s="2" t="s">
        <v>229</v>
      </c>
      <c r="B8" s="2" t="s">
        <v>218</v>
      </c>
      <c r="C8" s="2" t="s">
        <v>230</v>
      </c>
      <c r="D8" s="2" t="s">
        <v>211</v>
      </c>
      <c r="E8" s="2" t="s">
        <v>231</v>
      </c>
      <c r="F8" s="2">
        <v>10.764105799999999</v>
      </c>
      <c r="G8" s="2">
        <v>106.66036870000001</v>
      </c>
      <c r="H8" s="4">
        <v>1.6494165780853411</v>
      </c>
      <c r="I8" s="2" t="s">
        <v>213</v>
      </c>
      <c r="J8" s="2" t="s">
        <v>213</v>
      </c>
      <c r="K8" s="2" t="s">
        <v>342</v>
      </c>
      <c r="L8" s="2" t="s">
        <v>466</v>
      </c>
      <c r="M8" s="2" t="s">
        <v>467</v>
      </c>
    </row>
    <row r="9" spans="1:13" ht="28">
      <c r="A9" s="2" t="s">
        <v>232</v>
      </c>
      <c r="B9" s="2" t="s">
        <v>218</v>
      </c>
      <c r="C9" s="2" t="s">
        <v>233</v>
      </c>
      <c r="D9" s="2" t="s">
        <v>211</v>
      </c>
      <c r="E9" s="2" t="s">
        <v>234</v>
      </c>
      <c r="F9" s="2">
        <v>10.764791839999999</v>
      </c>
      <c r="G9" s="2">
        <v>106.6614616</v>
      </c>
      <c r="H9" s="4">
        <v>1.5500529949104562</v>
      </c>
      <c r="I9" s="2" t="s">
        <v>213</v>
      </c>
      <c r="J9" s="2" t="s">
        <v>213</v>
      </c>
      <c r="K9" s="2" t="s">
        <v>342</v>
      </c>
      <c r="L9" s="2" t="s">
        <v>466</v>
      </c>
      <c r="M9" s="2" t="s">
        <v>467</v>
      </c>
    </row>
    <row r="10" spans="1:13" ht="28">
      <c r="A10" s="2" t="s">
        <v>235</v>
      </c>
      <c r="B10" s="2" t="s">
        <v>236</v>
      </c>
      <c r="C10" s="2" t="s">
        <v>237</v>
      </c>
      <c r="D10" s="2" t="s">
        <v>211</v>
      </c>
      <c r="E10" s="2" t="s">
        <v>238</v>
      </c>
      <c r="F10" s="2">
        <v>10.773733760000001</v>
      </c>
      <c r="G10" s="2">
        <v>106.6775178</v>
      </c>
      <c r="H10" s="4">
        <v>1.4115459815747924</v>
      </c>
      <c r="I10" s="2" t="s">
        <v>213</v>
      </c>
      <c r="J10" s="2" t="s">
        <v>213</v>
      </c>
      <c r="K10" s="2" t="s">
        <v>342</v>
      </c>
      <c r="L10" s="2" t="s">
        <v>466</v>
      </c>
      <c r="M10" s="2" t="s">
        <v>467</v>
      </c>
    </row>
    <row r="11" spans="1:13" ht="28">
      <c r="A11" s="2" t="s">
        <v>240</v>
      </c>
      <c r="B11" s="2" t="s">
        <v>236</v>
      </c>
      <c r="C11" s="2" t="s">
        <v>241</v>
      </c>
      <c r="D11" s="2" t="s">
        <v>243</v>
      </c>
      <c r="E11" s="2" t="s">
        <v>242</v>
      </c>
      <c r="F11" s="2">
        <v>10.7758527</v>
      </c>
      <c r="G11" s="2">
        <v>106.68522230000001</v>
      </c>
      <c r="H11" s="4">
        <v>1.9594539026010245</v>
      </c>
      <c r="I11" s="2" t="s">
        <v>213</v>
      </c>
      <c r="J11" s="2" t="s">
        <v>213</v>
      </c>
      <c r="K11" s="2" t="s">
        <v>342</v>
      </c>
      <c r="L11" s="2" t="s">
        <v>466</v>
      </c>
      <c r="M11" s="2" t="s">
        <v>467</v>
      </c>
    </row>
    <row r="12" spans="1:13" ht="28">
      <c r="A12" s="2" t="s">
        <v>244</v>
      </c>
      <c r="B12" s="2" t="s">
        <v>245</v>
      </c>
      <c r="C12" s="2" t="s">
        <v>246</v>
      </c>
      <c r="D12" s="2" t="s">
        <v>248</v>
      </c>
      <c r="E12" s="2" t="s">
        <v>247</v>
      </c>
      <c r="F12" s="2">
        <v>10.802839799999999</v>
      </c>
      <c r="G12" s="2">
        <v>106.6436253</v>
      </c>
      <c r="H12" s="4">
        <v>1.8297367018548296</v>
      </c>
      <c r="I12" s="2" t="s">
        <v>213</v>
      </c>
      <c r="J12" s="2" t="s">
        <v>213</v>
      </c>
      <c r="K12" s="2" t="s">
        <v>351</v>
      </c>
      <c r="L12" s="2" t="s">
        <v>466</v>
      </c>
      <c r="M12" s="2" t="s">
        <v>467</v>
      </c>
    </row>
    <row r="13" spans="1:13" ht="28">
      <c r="A13" s="2" t="s">
        <v>250</v>
      </c>
      <c r="B13" s="2" t="s">
        <v>251</v>
      </c>
      <c r="C13" s="2" t="s">
        <v>252</v>
      </c>
      <c r="D13" s="2" t="s">
        <v>221</v>
      </c>
      <c r="E13" s="2" t="s">
        <v>253</v>
      </c>
      <c r="F13" s="2">
        <v>10.8025629</v>
      </c>
      <c r="G13" s="2">
        <v>106.6975723</v>
      </c>
      <c r="H13" s="4">
        <v>4.1017350491225599</v>
      </c>
      <c r="I13" s="2" t="s">
        <v>205</v>
      </c>
      <c r="J13" s="2" t="s">
        <v>213</v>
      </c>
      <c r="K13" s="2" t="s">
        <v>351</v>
      </c>
      <c r="L13" s="2" t="s">
        <v>466</v>
      </c>
      <c r="M13" s="2" t="s">
        <v>467</v>
      </c>
    </row>
    <row r="14" spans="1:13" ht="28">
      <c r="A14" s="2" t="s">
        <v>255</v>
      </c>
      <c r="B14" s="2" t="s">
        <v>251</v>
      </c>
      <c r="C14" s="2" t="s">
        <v>256</v>
      </c>
      <c r="D14" s="2" t="s">
        <v>258</v>
      </c>
      <c r="E14" s="2" t="s">
        <v>257</v>
      </c>
      <c r="F14" s="2">
        <v>10.8345156</v>
      </c>
      <c r="G14" s="2">
        <v>106.6758864</v>
      </c>
      <c r="H14" s="4">
        <v>4.2132609022681677</v>
      </c>
      <c r="I14" s="2" t="s">
        <v>205</v>
      </c>
      <c r="J14" s="2" t="s">
        <v>213</v>
      </c>
      <c r="K14" s="2" t="s">
        <v>351</v>
      </c>
      <c r="L14" s="2" t="s">
        <v>466</v>
      </c>
      <c r="M14" s="2" t="s">
        <v>467</v>
      </c>
    </row>
    <row r="15" spans="1:13" ht="28">
      <c r="A15" s="2" t="s">
        <v>259</v>
      </c>
      <c r="B15" s="2" t="s">
        <v>251</v>
      </c>
      <c r="C15" s="2" t="s">
        <v>260</v>
      </c>
      <c r="D15" s="2" t="s">
        <v>262</v>
      </c>
      <c r="E15" s="2" t="s">
        <v>261</v>
      </c>
      <c r="F15" s="2">
        <v>10.865616470000001</v>
      </c>
      <c r="G15" s="2">
        <v>106.6142653</v>
      </c>
      <c r="H15" s="4">
        <v>8.8550288179488952</v>
      </c>
      <c r="I15" s="2" t="s">
        <v>205</v>
      </c>
      <c r="J15" s="2" t="s">
        <v>205</v>
      </c>
      <c r="K15" s="2" t="s">
        <v>351</v>
      </c>
      <c r="L15" s="2" t="s">
        <v>466</v>
      </c>
      <c r="M15" s="2" t="s">
        <v>467</v>
      </c>
    </row>
    <row r="16" spans="1:13" ht="28">
      <c r="A16" s="2" t="s">
        <v>263</v>
      </c>
      <c r="B16" s="2" t="s">
        <v>251</v>
      </c>
      <c r="C16" s="2" t="s">
        <v>264</v>
      </c>
      <c r="D16" s="2" t="s">
        <v>243</v>
      </c>
      <c r="E16" s="2" t="s">
        <v>265</v>
      </c>
      <c r="F16" s="2">
        <v>10.778622049999999</v>
      </c>
      <c r="G16" s="2">
        <v>106.68053329999999</v>
      </c>
      <c r="H16" s="4">
        <v>2.0183122706965517</v>
      </c>
      <c r="I16" s="2" t="s">
        <v>213</v>
      </c>
      <c r="J16" s="2" t="s">
        <v>213</v>
      </c>
      <c r="K16" s="2" t="s">
        <v>342</v>
      </c>
      <c r="L16" s="2" t="s">
        <v>466</v>
      </c>
      <c r="M16" s="2" t="s">
        <v>467</v>
      </c>
    </row>
    <row r="17" spans="1:13" ht="42">
      <c r="A17" s="2" t="s">
        <v>266</v>
      </c>
      <c r="B17" s="2" t="s">
        <v>251</v>
      </c>
      <c r="C17" s="2" t="s">
        <v>267</v>
      </c>
      <c r="D17" s="2" t="s">
        <v>243</v>
      </c>
      <c r="E17" s="2" t="s">
        <v>268</v>
      </c>
      <c r="F17" s="2">
        <v>10.77419338</v>
      </c>
      <c r="G17" s="2">
        <v>106.6893963</v>
      </c>
      <c r="H17" s="4">
        <v>2.1170723528706694</v>
      </c>
      <c r="I17" s="2" t="s">
        <v>213</v>
      </c>
      <c r="J17" s="2" t="s">
        <v>213</v>
      </c>
      <c r="K17" s="2" t="s">
        <v>342</v>
      </c>
      <c r="L17" s="2" t="s">
        <v>466</v>
      </c>
      <c r="M17" s="2" t="s">
        <v>467</v>
      </c>
    </row>
    <row r="18" spans="1:13" ht="28">
      <c r="A18" s="2" t="s">
        <v>269</v>
      </c>
      <c r="B18" s="2" t="s">
        <v>251</v>
      </c>
      <c r="C18" s="2" t="s">
        <v>270</v>
      </c>
      <c r="D18" s="2" t="s">
        <v>272</v>
      </c>
      <c r="E18" s="2" t="s">
        <v>271</v>
      </c>
      <c r="F18" s="2">
        <v>10.760278700000001</v>
      </c>
      <c r="G18" s="2">
        <v>106.6980314</v>
      </c>
      <c r="H18" s="4">
        <v>2.4980578854608679</v>
      </c>
      <c r="I18" s="2" t="s">
        <v>213</v>
      </c>
      <c r="J18" s="2" t="s">
        <v>213</v>
      </c>
      <c r="K18" s="2" t="s">
        <v>342</v>
      </c>
      <c r="L18" s="2" t="s">
        <v>466</v>
      </c>
      <c r="M18" s="2" t="s">
        <v>467</v>
      </c>
    </row>
    <row r="19" spans="1:13" ht="28">
      <c r="A19" s="2" t="s">
        <v>273</v>
      </c>
      <c r="B19" s="2" t="s">
        <v>251</v>
      </c>
      <c r="C19" s="2" t="s">
        <v>274</v>
      </c>
      <c r="D19" s="2" t="s">
        <v>276</v>
      </c>
      <c r="E19" s="2" t="s">
        <v>275</v>
      </c>
      <c r="F19" s="2">
        <v>10.747522</v>
      </c>
      <c r="G19" s="2">
        <v>106.628803</v>
      </c>
      <c r="H19" s="4">
        <v>5.2917414865327572</v>
      </c>
      <c r="I19" s="2" t="s">
        <v>205</v>
      </c>
      <c r="J19" s="2" t="s">
        <v>205</v>
      </c>
      <c r="K19" s="2" t="s">
        <v>342</v>
      </c>
      <c r="L19" s="2" t="s">
        <v>466</v>
      </c>
      <c r="M19" s="2" t="s">
        <v>467</v>
      </c>
    </row>
    <row r="20" spans="1:13" ht="28">
      <c r="A20" s="2" t="s">
        <v>277</v>
      </c>
      <c r="B20" s="2" t="s">
        <v>251</v>
      </c>
      <c r="C20" s="2" t="s">
        <v>278</v>
      </c>
      <c r="D20" s="2" t="s">
        <v>10</v>
      </c>
      <c r="E20" s="2" t="s">
        <v>279</v>
      </c>
      <c r="F20" s="2">
        <v>10.7396937</v>
      </c>
      <c r="G20" s="2">
        <v>106.7052752</v>
      </c>
      <c r="H20" s="4">
        <v>4.0681307534799753</v>
      </c>
      <c r="I20" s="2" t="s">
        <v>205</v>
      </c>
      <c r="J20" s="2" t="s">
        <v>213</v>
      </c>
      <c r="K20" s="2" t="s">
        <v>342</v>
      </c>
      <c r="L20" s="2" t="s">
        <v>466</v>
      </c>
      <c r="M20" s="2" t="s">
        <v>467</v>
      </c>
    </row>
    <row r="21" spans="1:13" ht="28">
      <c r="A21" s="2" t="s">
        <v>280</v>
      </c>
      <c r="B21" s="2" t="s">
        <v>251</v>
      </c>
      <c r="C21" s="2" t="s">
        <v>281</v>
      </c>
      <c r="D21" s="2" t="s">
        <v>283</v>
      </c>
      <c r="E21" s="2" t="s">
        <v>282</v>
      </c>
      <c r="F21" s="2">
        <v>10.84445171</v>
      </c>
      <c r="G21" s="2">
        <v>106.7814255</v>
      </c>
      <c r="H21" s="4">
        <v>1.7098372561557234</v>
      </c>
      <c r="I21" s="2" t="s">
        <v>213</v>
      </c>
      <c r="J21" s="2" t="s">
        <v>213</v>
      </c>
      <c r="K21" s="2" t="s">
        <v>348</v>
      </c>
      <c r="L21" s="2" t="s">
        <v>466</v>
      </c>
      <c r="M21" s="2" t="s">
        <v>467</v>
      </c>
    </row>
    <row r="22" spans="1:13" ht="28">
      <c r="A22" s="2" t="s">
        <v>284</v>
      </c>
      <c r="B22" s="2" t="s">
        <v>251</v>
      </c>
      <c r="C22" s="2" t="s">
        <v>285</v>
      </c>
      <c r="D22" s="2" t="s">
        <v>283</v>
      </c>
      <c r="E22" s="2" t="s">
        <v>286</v>
      </c>
      <c r="F22" s="2">
        <v>10.8508361</v>
      </c>
      <c r="G22" s="2">
        <v>106.7661456</v>
      </c>
      <c r="H22" s="4">
        <v>0.15112680545216858</v>
      </c>
      <c r="I22" s="2" t="s">
        <v>213</v>
      </c>
      <c r="J22" s="2" t="s">
        <v>213</v>
      </c>
      <c r="K22" s="2" t="s">
        <v>348</v>
      </c>
      <c r="L22" s="2" t="s">
        <v>466</v>
      </c>
      <c r="M22" s="2" t="s">
        <v>467</v>
      </c>
    </row>
    <row r="23" spans="1:13" ht="28">
      <c r="A23" s="2" t="s">
        <v>287</v>
      </c>
      <c r="B23" s="2" t="s">
        <v>251</v>
      </c>
      <c r="C23" s="2" t="s">
        <v>288</v>
      </c>
      <c r="D23" s="2" t="s">
        <v>248</v>
      </c>
      <c r="E23" s="2" t="s">
        <v>289</v>
      </c>
      <c r="F23" s="2">
        <v>10.796336800000001</v>
      </c>
      <c r="G23" s="2">
        <v>106.6469475</v>
      </c>
      <c r="H23" s="4">
        <v>1.492838910542666</v>
      </c>
      <c r="I23" s="2" t="s">
        <v>213</v>
      </c>
      <c r="J23" s="2" t="s">
        <v>213</v>
      </c>
      <c r="K23" s="2" t="s">
        <v>351</v>
      </c>
      <c r="L23" s="2" t="s">
        <v>466</v>
      </c>
      <c r="M23" s="2" t="s">
        <v>467</v>
      </c>
    </row>
    <row r="24" spans="1:13" ht="28">
      <c r="A24" s="2" t="s">
        <v>290</v>
      </c>
      <c r="B24" s="2" t="s">
        <v>291</v>
      </c>
      <c r="C24" s="2" t="s">
        <v>292</v>
      </c>
      <c r="D24" s="2" t="s">
        <v>221</v>
      </c>
      <c r="E24" s="2" t="s">
        <v>293</v>
      </c>
      <c r="F24" s="2">
        <v>10.8035861</v>
      </c>
      <c r="G24" s="2">
        <v>106.698328</v>
      </c>
      <c r="H24" s="4">
        <v>4.1935415542060142</v>
      </c>
      <c r="I24" s="2" t="s">
        <v>205</v>
      </c>
      <c r="J24" s="2" t="s">
        <v>213</v>
      </c>
      <c r="K24" s="2" t="s">
        <v>351</v>
      </c>
      <c r="L24" s="2" t="s">
        <v>466</v>
      </c>
      <c r="M24" s="2" t="s">
        <v>467</v>
      </c>
    </row>
    <row r="25" spans="1:13" ht="28">
      <c r="A25" s="2" t="s">
        <v>295</v>
      </c>
      <c r="B25" s="2" t="s">
        <v>291</v>
      </c>
      <c r="C25" s="2" t="s">
        <v>296</v>
      </c>
      <c r="D25" s="2" t="s">
        <v>201</v>
      </c>
      <c r="E25" s="2" t="s">
        <v>297</v>
      </c>
      <c r="F25" s="2">
        <v>10.7621383</v>
      </c>
      <c r="G25" s="2">
        <v>106.6887447</v>
      </c>
      <c r="H25" s="4">
        <v>1.4845561129520863</v>
      </c>
      <c r="I25" s="2" t="s">
        <v>213</v>
      </c>
      <c r="J25" s="2" t="s">
        <v>213</v>
      </c>
      <c r="K25" s="2" t="s">
        <v>342</v>
      </c>
      <c r="L25" s="2" t="s">
        <v>466</v>
      </c>
      <c r="M25" s="2" t="s">
        <v>467</v>
      </c>
    </row>
    <row r="26" spans="1:13" ht="28">
      <c r="A26" s="2" t="s">
        <v>298</v>
      </c>
      <c r="B26" s="2" t="s">
        <v>299</v>
      </c>
      <c r="C26" s="2" t="s">
        <v>299</v>
      </c>
      <c r="D26" s="2" t="s">
        <v>221</v>
      </c>
      <c r="E26" s="2" t="s">
        <v>300</v>
      </c>
      <c r="F26" s="2">
        <v>10.809904899999999</v>
      </c>
      <c r="G26" s="2">
        <v>106.7122456</v>
      </c>
      <c r="H26" s="4">
        <v>5.8008321557873206</v>
      </c>
      <c r="I26" s="2" t="s">
        <v>205</v>
      </c>
      <c r="J26" s="2" t="s">
        <v>205</v>
      </c>
      <c r="K26" s="2" t="s">
        <v>351</v>
      </c>
      <c r="L26" s="2" t="s">
        <v>466</v>
      </c>
      <c r="M26" s="2" t="s">
        <v>467</v>
      </c>
    </row>
    <row r="27" spans="1:13" ht="28">
      <c r="A27" s="2" t="s">
        <v>302</v>
      </c>
      <c r="B27" s="2" t="s">
        <v>303</v>
      </c>
      <c r="C27" s="2" t="s">
        <v>304</v>
      </c>
      <c r="D27" s="2" t="s">
        <v>221</v>
      </c>
      <c r="E27" s="2" t="s">
        <v>305</v>
      </c>
      <c r="F27" s="2">
        <v>10.803308700000001</v>
      </c>
      <c r="G27" s="2">
        <v>106.705646</v>
      </c>
      <c r="H27" s="4">
        <v>4.9872843282124331</v>
      </c>
      <c r="I27" s="2" t="s">
        <v>205</v>
      </c>
      <c r="J27" s="2" t="s">
        <v>213</v>
      </c>
      <c r="K27" s="2" t="s">
        <v>351</v>
      </c>
      <c r="L27" s="2" t="s">
        <v>466</v>
      </c>
      <c r="M27" s="2" t="s">
        <v>467</v>
      </c>
    </row>
    <row r="28" spans="1:13" ht="28">
      <c r="A28" s="2" t="s">
        <v>307</v>
      </c>
      <c r="B28" s="2" t="s">
        <v>303</v>
      </c>
      <c r="C28" s="2" t="s">
        <v>308</v>
      </c>
      <c r="D28" s="2" t="s">
        <v>26</v>
      </c>
      <c r="E28" s="2" t="s">
        <v>309</v>
      </c>
      <c r="F28" s="2">
        <v>10.7566445</v>
      </c>
      <c r="G28" s="2">
        <v>106.5903794</v>
      </c>
      <c r="H28" s="4">
        <v>9.0109783790105844</v>
      </c>
      <c r="I28" s="2" t="s">
        <v>205</v>
      </c>
      <c r="J28" s="2" t="s">
        <v>205</v>
      </c>
      <c r="K28" s="2" t="s">
        <v>351</v>
      </c>
      <c r="L28" s="2" t="s">
        <v>466</v>
      </c>
      <c r="M28" s="2" t="s">
        <v>467</v>
      </c>
    </row>
    <row r="29" spans="1:13" ht="28">
      <c r="A29" s="2" t="s">
        <v>310</v>
      </c>
      <c r="B29" s="2" t="s">
        <v>303</v>
      </c>
      <c r="C29" s="2" t="s">
        <v>311</v>
      </c>
      <c r="D29" s="2" t="s">
        <v>258</v>
      </c>
      <c r="E29" s="2" t="s">
        <v>312</v>
      </c>
      <c r="F29" s="2">
        <v>10.8336133</v>
      </c>
      <c r="G29" s="2">
        <v>106.66983879999999</v>
      </c>
      <c r="H29" s="4">
        <v>3.8923992420269755</v>
      </c>
      <c r="I29" s="2" t="s">
        <v>205</v>
      </c>
      <c r="J29" s="2" t="s">
        <v>213</v>
      </c>
      <c r="K29" s="2" t="s">
        <v>351</v>
      </c>
      <c r="L29" s="2" t="s">
        <v>466</v>
      </c>
      <c r="M29" s="2" t="s">
        <v>467</v>
      </c>
    </row>
    <row r="30" spans="1:13" ht="28">
      <c r="A30" s="2" t="s">
        <v>313</v>
      </c>
      <c r="B30" s="2" t="s">
        <v>303</v>
      </c>
      <c r="C30" s="2" t="s">
        <v>314</v>
      </c>
      <c r="D30" s="2" t="s">
        <v>76</v>
      </c>
      <c r="E30" s="2" t="s">
        <v>315</v>
      </c>
      <c r="F30" s="2">
        <v>10.7998542</v>
      </c>
      <c r="G30" s="2">
        <v>106.6712486</v>
      </c>
      <c r="H30" s="4">
        <v>1.2161608639423074</v>
      </c>
      <c r="I30" s="2" t="s">
        <v>213</v>
      </c>
      <c r="J30" s="2" t="s">
        <v>213</v>
      </c>
      <c r="K30" s="2" t="s">
        <v>351</v>
      </c>
      <c r="L30" s="2" t="s">
        <v>466</v>
      </c>
      <c r="M30" s="2" t="s">
        <v>467</v>
      </c>
    </row>
    <row r="31" spans="1:13" ht="28">
      <c r="A31" s="2" t="s">
        <v>316</v>
      </c>
      <c r="B31" s="2" t="s">
        <v>303</v>
      </c>
      <c r="C31" s="2" t="s">
        <v>317</v>
      </c>
      <c r="D31" s="2" t="s">
        <v>211</v>
      </c>
      <c r="E31" s="2" t="s">
        <v>318</v>
      </c>
      <c r="F31" s="2">
        <v>10.76995569</v>
      </c>
      <c r="G31" s="2">
        <v>106.6702161</v>
      </c>
      <c r="H31" s="4">
        <v>1.1100148634706901</v>
      </c>
      <c r="I31" s="2" t="s">
        <v>213</v>
      </c>
      <c r="J31" s="2" t="s">
        <v>213</v>
      </c>
      <c r="K31" s="2" t="s">
        <v>342</v>
      </c>
      <c r="L31" s="2" t="s">
        <v>466</v>
      </c>
      <c r="M31" s="2" t="s">
        <v>467</v>
      </c>
    </row>
    <row r="32" spans="1:13" ht="28">
      <c r="A32" s="2" t="s">
        <v>319</v>
      </c>
      <c r="B32" s="2" t="s">
        <v>303</v>
      </c>
      <c r="C32" s="2" t="s">
        <v>320</v>
      </c>
      <c r="D32" s="2" t="s">
        <v>262</v>
      </c>
      <c r="E32" s="2" t="s">
        <v>321</v>
      </c>
      <c r="F32" s="2">
        <v>10.865306500000001</v>
      </c>
      <c r="G32" s="2">
        <v>106.61623969999999</v>
      </c>
      <c r="H32" s="4">
        <v>8.7061081589381484</v>
      </c>
      <c r="I32" s="2" t="s">
        <v>205</v>
      </c>
      <c r="J32" s="2" t="s">
        <v>205</v>
      </c>
      <c r="K32" s="2" t="s">
        <v>351</v>
      </c>
      <c r="L32" s="2" t="s">
        <v>466</v>
      </c>
      <c r="M32" s="2" t="s">
        <v>467</v>
      </c>
    </row>
    <row r="33" spans="1:13" ht="28">
      <c r="A33" s="2" t="s">
        <v>322</v>
      </c>
      <c r="B33" s="2" t="s">
        <v>303</v>
      </c>
      <c r="C33" s="2" t="s">
        <v>323</v>
      </c>
      <c r="D33" s="2" t="s">
        <v>10</v>
      </c>
      <c r="E33" s="2" t="s">
        <v>324</v>
      </c>
      <c r="F33" s="2">
        <v>10.741131599999999</v>
      </c>
      <c r="G33" s="2">
        <v>106.7037716</v>
      </c>
      <c r="H33" s="4">
        <v>3.8413395185104386</v>
      </c>
      <c r="I33" s="2" t="s">
        <v>205</v>
      </c>
      <c r="J33" s="2" t="s">
        <v>213</v>
      </c>
      <c r="K33" s="2" t="s">
        <v>342</v>
      </c>
      <c r="L33" s="2" t="s">
        <v>466</v>
      </c>
      <c r="M33" s="2" t="s">
        <v>467</v>
      </c>
    </row>
    <row r="34" spans="1:13" ht="28">
      <c r="A34" s="2" t="s">
        <v>325</v>
      </c>
      <c r="B34" s="2" t="s">
        <v>303</v>
      </c>
      <c r="C34" s="2" t="s">
        <v>326</v>
      </c>
      <c r="D34" s="2" t="s">
        <v>283</v>
      </c>
      <c r="E34" s="2" t="s">
        <v>327</v>
      </c>
      <c r="F34" s="2">
        <v>10.83220588</v>
      </c>
      <c r="G34" s="2">
        <v>106.76317659999999</v>
      </c>
      <c r="H34" s="4">
        <v>1.9686366180536186</v>
      </c>
      <c r="I34" s="2" t="s">
        <v>213</v>
      </c>
      <c r="J34" s="2" t="s">
        <v>213</v>
      </c>
      <c r="K34" s="2" t="s">
        <v>348</v>
      </c>
      <c r="L34" s="2" t="s">
        <v>466</v>
      </c>
      <c r="M34" s="2" t="s">
        <v>467</v>
      </c>
    </row>
    <row r="35" spans="1:13" ht="28">
      <c r="A35" s="2" t="s">
        <v>328</v>
      </c>
      <c r="B35" s="2" t="s">
        <v>303</v>
      </c>
      <c r="C35" s="2" t="s">
        <v>329</v>
      </c>
      <c r="D35" s="2" t="s">
        <v>283</v>
      </c>
      <c r="E35" s="2" t="s">
        <v>330</v>
      </c>
      <c r="F35" s="2">
        <v>10.845912330000001</v>
      </c>
      <c r="G35" s="2">
        <v>106.82990359999999</v>
      </c>
      <c r="H35" s="4">
        <v>6.9183039109866131</v>
      </c>
      <c r="I35" s="2" t="s">
        <v>205</v>
      </c>
      <c r="J35" s="2" t="s">
        <v>205</v>
      </c>
      <c r="K35" s="2" t="s">
        <v>348</v>
      </c>
      <c r="L35" s="2" t="s">
        <v>466</v>
      </c>
      <c r="M35" s="2" t="s">
        <v>467</v>
      </c>
    </row>
    <row r="36" spans="1:13" ht="28">
      <c r="A36" s="2" t="s">
        <v>331</v>
      </c>
      <c r="B36" s="2" t="s">
        <v>303</v>
      </c>
      <c r="C36" s="2" t="s">
        <v>332</v>
      </c>
      <c r="D36" s="2" t="s">
        <v>248</v>
      </c>
      <c r="E36" s="2" t="s">
        <v>333</v>
      </c>
      <c r="F36" s="2">
        <v>10.7972982</v>
      </c>
      <c r="G36" s="2">
        <v>106.67897739999999</v>
      </c>
      <c r="H36" s="4">
        <v>2.0810965593968533</v>
      </c>
      <c r="I36" s="2" t="s">
        <v>213</v>
      </c>
      <c r="J36" s="2" t="s">
        <v>213</v>
      </c>
      <c r="K36" s="2" t="s">
        <v>351</v>
      </c>
      <c r="L36" s="2" t="s">
        <v>466</v>
      </c>
      <c r="M36" s="2" t="s">
        <v>467</v>
      </c>
    </row>
    <row r="37" spans="1:13" ht="28">
      <c r="A37" s="2" t="s">
        <v>334</v>
      </c>
      <c r="B37" s="2" t="s">
        <v>303</v>
      </c>
      <c r="C37" s="2" t="s">
        <v>335</v>
      </c>
      <c r="D37" s="2" t="s">
        <v>248</v>
      </c>
      <c r="E37" s="2" t="s">
        <v>336</v>
      </c>
      <c r="F37" s="2">
        <v>10.8021171</v>
      </c>
      <c r="G37" s="2">
        <v>106.64526789999999</v>
      </c>
      <c r="H37" s="4">
        <v>1.6396483238573298</v>
      </c>
      <c r="I37" s="2" t="s">
        <v>213</v>
      </c>
      <c r="J37" s="2" t="s">
        <v>213</v>
      </c>
      <c r="K37" s="2" t="s">
        <v>351</v>
      </c>
      <c r="L37" s="2" t="s">
        <v>466</v>
      </c>
      <c r="M37" s="2" t="s">
        <v>467</v>
      </c>
    </row>
    <row r="38" spans="1:13" ht="28">
      <c r="A38" s="2" t="s">
        <v>337</v>
      </c>
      <c r="B38" s="2" t="s">
        <v>303</v>
      </c>
      <c r="C38" s="2" t="s">
        <v>338</v>
      </c>
      <c r="D38" s="2" t="s">
        <v>44</v>
      </c>
      <c r="E38" s="2" t="s">
        <v>339</v>
      </c>
      <c r="F38" s="2">
        <v>10.782200700000001</v>
      </c>
      <c r="G38" s="2">
        <v>106.6360495</v>
      </c>
      <c r="H38" s="4">
        <v>3.2861430648918888</v>
      </c>
      <c r="I38" s="2" t="s">
        <v>205</v>
      </c>
      <c r="J38" s="2" t="s">
        <v>213</v>
      </c>
      <c r="K38" s="2" t="s">
        <v>351</v>
      </c>
      <c r="L38" s="2" t="s">
        <v>466</v>
      </c>
      <c r="M38" s="2" t="s">
        <v>467</v>
      </c>
    </row>
    <row r="39" spans="1:13" ht="28">
      <c r="A39" s="2" t="s">
        <v>353</v>
      </c>
      <c r="B39" s="2" t="s">
        <v>354</v>
      </c>
      <c r="C39" s="2" t="s">
        <v>355</v>
      </c>
      <c r="D39" s="2" t="s">
        <v>26</v>
      </c>
      <c r="E39" s="2" t="s">
        <v>356</v>
      </c>
      <c r="F39" s="2">
        <v>10.81608482</v>
      </c>
      <c r="G39" s="2">
        <v>106.5955407</v>
      </c>
      <c r="H39" s="4">
        <v>7.2778954790688806</v>
      </c>
      <c r="I39" s="2" t="s">
        <v>205</v>
      </c>
      <c r="J39" s="2" t="s">
        <v>205</v>
      </c>
      <c r="K39" s="2" t="s">
        <v>351</v>
      </c>
      <c r="L39" s="2" t="s">
        <v>466</v>
      </c>
      <c r="M39" s="2" t="s">
        <v>467</v>
      </c>
    </row>
    <row r="40" spans="1:13" ht="28">
      <c r="A40" s="2" t="s">
        <v>358</v>
      </c>
      <c r="B40" s="2" t="s">
        <v>354</v>
      </c>
      <c r="C40" s="2" t="s">
        <v>359</v>
      </c>
      <c r="D40" s="2" t="s">
        <v>258</v>
      </c>
      <c r="E40" s="2" t="s">
        <v>360</v>
      </c>
      <c r="F40" s="2">
        <v>10.831414199999999</v>
      </c>
      <c r="G40" s="2">
        <v>106.6685215</v>
      </c>
      <c r="H40" s="4">
        <v>3.6186029374418007</v>
      </c>
      <c r="I40" s="2" t="s">
        <v>205</v>
      </c>
      <c r="J40" s="2" t="s">
        <v>213</v>
      </c>
      <c r="K40" s="2" t="s">
        <v>351</v>
      </c>
      <c r="L40" s="2" t="s">
        <v>466</v>
      </c>
      <c r="M40" s="2" t="s">
        <v>467</v>
      </c>
    </row>
    <row r="41" spans="1:13" ht="28">
      <c r="A41" s="2" t="s">
        <v>362</v>
      </c>
      <c r="B41" s="2" t="s">
        <v>354</v>
      </c>
      <c r="C41" s="2" t="s">
        <v>363</v>
      </c>
      <c r="D41" s="2" t="s">
        <v>201</v>
      </c>
      <c r="E41" s="2" t="s">
        <v>364</v>
      </c>
      <c r="F41" s="2">
        <v>10.769057</v>
      </c>
      <c r="G41" s="2">
        <v>106.69497</v>
      </c>
      <c r="H41" s="4">
        <v>2.3291816539255126</v>
      </c>
      <c r="I41" s="2" t="s">
        <v>213</v>
      </c>
      <c r="J41" s="2" t="s">
        <v>213</v>
      </c>
      <c r="K41" s="2" t="s">
        <v>342</v>
      </c>
      <c r="L41" s="2" t="s">
        <v>466</v>
      </c>
      <c r="M41" s="2" t="s">
        <v>467</v>
      </c>
    </row>
    <row r="42" spans="1:13" ht="28">
      <c r="A42" s="2" t="s">
        <v>365</v>
      </c>
      <c r="B42" s="2" t="s">
        <v>354</v>
      </c>
      <c r="C42" s="2" t="s">
        <v>366</v>
      </c>
      <c r="D42" s="2" t="s">
        <v>201</v>
      </c>
      <c r="E42" s="2" t="s">
        <v>367</v>
      </c>
      <c r="F42" s="2">
        <v>10.792293000000001</v>
      </c>
      <c r="G42" s="2">
        <v>106.693636</v>
      </c>
      <c r="H42" s="4">
        <v>3.7587935760437978</v>
      </c>
      <c r="I42" s="2" t="s">
        <v>205</v>
      </c>
      <c r="J42" s="2" t="s">
        <v>213</v>
      </c>
      <c r="K42" s="2" t="s">
        <v>351</v>
      </c>
      <c r="L42" s="2" t="s">
        <v>466</v>
      </c>
      <c r="M42" s="2" t="s">
        <v>467</v>
      </c>
    </row>
    <row r="43" spans="1:13" ht="28">
      <c r="A43" s="2" t="s">
        <v>368</v>
      </c>
      <c r="B43" s="2" t="s">
        <v>354</v>
      </c>
      <c r="C43" s="2" t="s">
        <v>369</v>
      </c>
      <c r="D43" s="2" t="s">
        <v>211</v>
      </c>
      <c r="E43" s="2" t="s">
        <v>370</v>
      </c>
      <c r="F43" s="2">
        <v>10.7702878</v>
      </c>
      <c r="G43" s="2">
        <v>106.6718249</v>
      </c>
      <c r="H43" s="4">
        <v>1.0700991773975539</v>
      </c>
      <c r="I43" s="2" t="s">
        <v>213</v>
      </c>
      <c r="J43" s="2" t="s">
        <v>213</v>
      </c>
      <c r="K43" s="2" t="s">
        <v>342</v>
      </c>
      <c r="L43" s="2" t="s">
        <v>466</v>
      </c>
      <c r="M43" s="2" t="s">
        <v>467</v>
      </c>
    </row>
    <row r="44" spans="1:13" ht="28">
      <c r="A44" s="2" t="s">
        <v>371</v>
      </c>
      <c r="B44" s="2" t="s">
        <v>354</v>
      </c>
      <c r="C44" s="2" t="s">
        <v>372</v>
      </c>
      <c r="D44" s="2" t="s">
        <v>272</v>
      </c>
      <c r="E44" s="2" t="s">
        <v>373</v>
      </c>
      <c r="F44" s="2">
        <v>10.759686</v>
      </c>
      <c r="G44" s="2">
        <v>106.698516</v>
      </c>
      <c r="H44" s="4">
        <v>2.5545829770395438</v>
      </c>
      <c r="I44" s="2" t="s">
        <v>213</v>
      </c>
      <c r="J44" s="2" t="s">
        <v>213</v>
      </c>
      <c r="K44" s="2" t="s">
        <v>342</v>
      </c>
      <c r="L44" s="2" t="s">
        <v>466</v>
      </c>
      <c r="M44" s="2" t="s">
        <v>467</v>
      </c>
    </row>
    <row r="45" spans="1:13" ht="28">
      <c r="A45" s="2" t="s">
        <v>374</v>
      </c>
      <c r="B45" s="2" t="s">
        <v>354</v>
      </c>
      <c r="C45" s="2" t="s">
        <v>375</v>
      </c>
      <c r="D45" s="2" t="s">
        <v>276</v>
      </c>
      <c r="E45" s="2" t="s">
        <v>376</v>
      </c>
      <c r="F45" s="2">
        <v>10.745405699999999</v>
      </c>
      <c r="G45" s="2">
        <v>106.62436719999999</v>
      </c>
      <c r="H45" s="4">
        <v>5.8242430832978078</v>
      </c>
      <c r="I45" s="2" t="s">
        <v>205</v>
      </c>
      <c r="J45" s="2" t="s">
        <v>205</v>
      </c>
      <c r="K45" s="2" t="s">
        <v>342</v>
      </c>
      <c r="L45" s="2" t="s">
        <v>466</v>
      </c>
      <c r="M45" s="2" t="s">
        <v>467</v>
      </c>
    </row>
    <row r="46" spans="1:13" ht="28">
      <c r="A46" s="2" t="s">
        <v>377</v>
      </c>
      <c r="B46" s="2" t="s">
        <v>354</v>
      </c>
      <c r="C46" s="2" t="s">
        <v>378</v>
      </c>
      <c r="D46" s="2" t="s">
        <v>10</v>
      </c>
      <c r="E46" s="2" t="s">
        <v>379</v>
      </c>
      <c r="F46" s="2">
        <v>10.7382475</v>
      </c>
      <c r="G46" s="2">
        <v>106.71717049999999</v>
      </c>
      <c r="H46" s="4">
        <v>5.2515077636218663</v>
      </c>
      <c r="I46" s="2" t="s">
        <v>205</v>
      </c>
      <c r="J46" s="2" t="s">
        <v>205</v>
      </c>
      <c r="K46" s="2" t="s">
        <v>342</v>
      </c>
      <c r="L46" s="2" t="s">
        <v>466</v>
      </c>
      <c r="M46" s="2" t="s">
        <v>467</v>
      </c>
    </row>
    <row r="47" spans="1:13" ht="28">
      <c r="A47" s="2" t="s">
        <v>380</v>
      </c>
      <c r="B47" s="2" t="s">
        <v>354</v>
      </c>
      <c r="C47" s="2" t="s">
        <v>381</v>
      </c>
      <c r="D47" s="2" t="s">
        <v>283</v>
      </c>
      <c r="E47" s="2" t="s">
        <v>382</v>
      </c>
      <c r="F47" s="2">
        <v>10.84642487</v>
      </c>
      <c r="G47" s="2">
        <v>106.7784492</v>
      </c>
      <c r="H47" s="4">
        <v>1.3339066818309633</v>
      </c>
      <c r="I47" s="2" t="s">
        <v>213</v>
      </c>
      <c r="J47" s="2" t="s">
        <v>213</v>
      </c>
      <c r="K47" s="2" t="s">
        <v>348</v>
      </c>
      <c r="L47" s="2" t="s">
        <v>466</v>
      </c>
      <c r="M47" s="2" t="s">
        <v>467</v>
      </c>
    </row>
    <row r="48" spans="1:13" ht="28">
      <c r="A48" s="2" t="s">
        <v>383</v>
      </c>
      <c r="B48" s="2" t="s">
        <v>354</v>
      </c>
      <c r="C48" s="2" t="s">
        <v>384</v>
      </c>
      <c r="D48" s="2" t="s">
        <v>283</v>
      </c>
      <c r="E48" s="2" t="s">
        <v>385</v>
      </c>
      <c r="F48" s="2">
        <v>10.85152031</v>
      </c>
      <c r="G48" s="2">
        <v>106.7561329</v>
      </c>
      <c r="H48" s="4">
        <v>1.1701851032716493</v>
      </c>
      <c r="I48" s="2" t="s">
        <v>213</v>
      </c>
      <c r="J48" s="2" t="s">
        <v>213</v>
      </c>
      <c r="K48" s="2" t="s">
        <v>348</v>
      </c>
      <c r="L48" s="2" t="s">
        <v>466</v>
      </c>
      <c r="M48" s="2" t="s">
        <v>467</v>
      </c>
    </row>
    <row r="49" spans="1:13" ht="28">
      <c r="A49" s="2" t="s">
        <v>386</v>
      </c>
      <c r="B49" s="2" t="s">
        <v>354</v>
      </c>
      <c r="C49" s="2" t="s">
        <v>387</v>
      </c>
      <c r="D49" s="2" t="s">
        <v>283</v>
      </c>
      <c r="E49" s="2" t="s">
        <v>388</v>
      </c>
      <c r="F49" s="2">
        <v>10.796315870000001</v>
      </c>
      <c r="G49" s="2">
        <v>106.7313704</v>
      </c>
      <c r="H49" s="4">
        <v>7.0661909966260641</v>
      </c>
      <c r="I49" s="2" t="s">
        <v>205</v>
      </c>
      <c r="J49" s="2" t="s">
        <v>205</v>
      </c>
      <c r="K49" s="2" t="s">
        <v>348</v>
      </c>
      <c r="L49" s="2" t="s">
        <v>466</v>
      </c>
      <c r="M49" s="2" t="s">
        <v>467</v>
      </c>
    </row>
    <row r="50" spans="1:13" ht="28">
      <c r="A50" s="2" t="s">
        <v>389</v>
      </c>
      <c r="B50" s="2" t="s">
        <v>354</v>
      </c>
      <c r="C50" s="2" t="s">
        <v>390</v>
      </c>
      <c r="D50" s="2" t="s">
        <v>248</v>
      </c>
      <c r="E50" s="2" t="s">
        <v>391</v>
      </c>
      <c r="F50" s="2">
        <v>10.79956552</v>
      </c>
      <c r="G50" s="2">
        <v>106.6596399</v>
      </c>
      <c r="H50" s="4">
        <v>6.6243717995677631E-2</v>
      </c>
      <c r="I50" s="2" t="s">
        <v>213</v>
      </c>
      <c r="J50" s="2" t="s">
        <v>213</v>
      </c>
      <c r="K50" s="2" t="s">
        <v>351</v>
      </c>
      <c r="L50" s="2" t="s">
        <v>466</v>
      </c>
      <c r="M50" s="2" t="s">
        <v>467</v>
      </c>
    </row>
    <row r="51" spans="1:13" ht="28">
      <c r="A51" s="2" t="s">
        <v>392</v>
      </c>
      <c r="B51" s="2" t="s">
        <v>354</v>
      </c>
      <c r="C51" s="2" t="s">
        <v>393</v>
      </c>
      <c r="D51" s="2" t="s">
        <v>248</v>
      </c>
      <c r="E51" s="2" t="s">
        <v>394</v>
      </c>
      <c r="F51" s="2">
        <v>10.7782766</v>
      </c>
      <c r="G51" s="2">
        <v>106.64545</v>
      </c>
      <c r="H51" s="4">
        <v>2.8924793667465831</v>
      </c>
      <c r="I51" s="2" t="s">
        <v>213</v>
      </c>
      <c r="J51" s="2" t="s">
        <v>213</v>
      </c>
      <c r="K51" s="2" t="s">
        <v>351</v>
      </c>
      <c r="L51" s="2" t="s">
        <v>466</v>
      </c>
      <c r="M51" s="2" t="s">
        <v>467</v>
      </c>
    </row>
    <row r="52" spans="1:13" ht="28">
      <c r="A52" s="2" t="s">
        <v>395</v>
      </c>
      <c r="B52" s="2" t="s">
        <v>354</v>
      </c>
      <c r="C52" s="2" t="s">
        <v>396</v>
      </c>
      <c r="D52" s="2" t="s">
        <v>44</v>
      </c>
      <c r="E52" s="2" t="s">
        <v>397</v>
      </c>
      <c r="F52" s="2">
        <v>10.769652900000001</v>
      </c>
      <c r="G52" s="2">
        <v>106.63372320000001</v>
      </c>
      <c r="H52" s="4">
        <v>4.4327680339842983</v>
      </c>
      <c r="I52" s="2" t="s">
        <v>205</v>
      </c>
      <c r="J52" s="2" t="s">
        <v>213</v>
      </c>
      <c r="K52" s="2" t="s">
        <v>351</v>
      </c>
      <c r="L52" s="2" t="s">
        <v>466</v>
      </c>
      <c r="M52" s="2" t="s">
        <v>467</v>
      </c>
    </row>
    <row r="53" spans="1:13" ht="28">
      <c r="A53" s="2" t="s">
        <v>398</v>
      </c>
      <c r="B53" s="2" t="s">
        <v>354</v>
      </c>
      <c r="C53" s="2" t="s">
        <v>399</v>
      </c>
      <c r="D53" s="2" t="s">
        <v>262</v>
      </c>
      <c r="E53" s="2" t="s">
        <v>400</v>
      </c>
      <c r="F53" s="2">
        <v>10.864953011758514</v>
      </c>
      <c r="G53" s="2">
        <v>106.61372692835744</v>
      </c>
      <c r="H53" s="4">
        <v>8.8278964891379257</v>
      </c>
      <c r="I53" s="2" t="s">
        <v>205</v>
      </c>
      <c r="J53" s="2" t="s">
        <v>205</v>
      </c>
      <c r="K53" s="2" t="s">
        <v>351</v>
      </c>
      <c r="L53" s="2" t="s">
        <v>466</v>
      </c>
      <c r="M53" s="2" t="s">
        <v>467</v>
      </c>
    </row>
    <row r="54" spans="1:13" ht="28">
      <c r="A54" s="2" t="s">
        <v>403</v>
      </c>
      <c r="B54" s="2" t="s">
        <v>354</v>
      </c>
      <c r="C54" s="2" t="s">
        <v>404</v>
      </c>
      <c r="D54" s="2" t="s">
        <v>262</v>
      </c>
      <c r="E54" s="2" t="s">
        <v>405</v>
      </c>
      <c r="F54" s="2">
        <v>10.828923740639642</v>
      </c>
      <c r="G54" s="2">
        <v>106.62505553830177</v>
      </c>
      <c r="H54" s="4">
        <v>5.0051601743846854</v>
      </c>
      <c r="I54" s="2" t="s">
        <v>205</v>
      </c>
      <c r="J54" s="2" t="s">
        <v>205</v>
      </c>
      <c r="K54" s="2" t="s">
        <v>351</v>
      </c>
      <c r="L54" s="2" t="s">
        <v>466</v>
      </c>
      <c r="M54" s="2" t="s">
        <v>467</v>
      </c>
    </row>
    <row r="55" spans="1:13" ht="28">
      <c r="A55" s="2" t="s">
        <v>406</v>
      </c>
      <c r="B55" s="2" t="s">
        <v>354</v>
      </c>
      <c r="C55" s="2" t="s">
        <v>407</v>
      </c>
      <c r="D55" s="2" t="s">
        <v>10</v>
      </c>
      <c r="E55" s="2" t="s">
        <v>408</v>
      </c>
      <c r="F55" s="2">
        <v>10.748309376686652</v>
      </c>
      <c r="G55" s="2">
        <v>106.72873033815156</v>
      </c>
      <c r="H55" s="4">
        <v>6.0237212933757913</v>
      </c>
      <c r="I55" s="2" t="s">
        <v>205</v>
      </c>
      <c r="J55" s="2" t="s">
        <v>205</v>
      </c>
      <c r="K55" s="2" t="s">
        <v>342</v>
      </c>
      <c r="L55" s="2" t="s">
        <v>466</v>
      </c>
      <c r="M55" s="2" t="s">
        <v>467</v>
      </c>
    </row>
    <row r="56" spans="1:13" ht="28">
      <c r="A56" s="2" t="s">
        <v>409</v>
      </c>
      <c r="B56" s="2" t="s">
        <v>354</v>
      </c>
      <c r="C56" s="2" t="s">
        <v>410</v>
      </c>
      <c r="D56" s="2" t="s">
        <v>221</v>
      </c>
      <c r="E56" s="2" t="s">
        <v>411</v>
      </c>
      <c r="F56" s="2">
        <v>10.801996170283369</v>
      </c>
      <c r="G56" s="2">
        <v>106.7120888958232</v>
      </c>
      <c r="H56" s="4">
        <v>5.6815220023041251</v>
      </c>
      <c r="I56" s="2" t="s">
        <v>205</v>
      </c>
      <c r="J56" s="2" t="s">
        <v>205</v>
      </c>
      <c r="K56" s="2" t="s">
        <v>351</v>
      </c>
      <c r="L56" s="2" t="s">
        <v>466</v>
      </c>
      <c r="M56" s="2" t="s">
        <v>467</v>
      </c>
    </row>
    <row r="57" spans="1:13" ht="28">
      <c r="A57" s="2" t="s">
        <v>412</v>
      </c>
      <c r="B57" s="2" t="s">
        <v>354</v>
      </c>
      <c r="C57" s="2" t="s">
        <v>413</v>
      </c>
      <c r="D57" s="2" t="s">
        <v>59</v>
      </c>
      <c r="E57" s="2" t="s">
        <v>414</v>
      </c>
      <c r="F57" s="2">
        <v>10.904494238087477</v>
      </c>
      <c r="G57" s="2">
        <v>106.76827415349524</v>
      </c>
      <c r="H57" s="4">
        <v>6.1091799686463499</v>
      </c>
      <c r="I57" s="2" t="s">
        <v>205</v>
      </c>
      <c r="J57" s="2" t="s">
        <v>205</v>
      </c>
      <c r="K57" s="2" t="s">
        <v>348</v>
      </c>
      <c r="L57" s="2" t="s">
        <v>466</v>
      </c>
      <c r="M57" s="2" t="s">
        <v>467</v>
      </c>
    </row>
    <row r="58" spans="1:13" ht="28">
      <c r="A58" s="2" t="s">
        <v>415</v>
      </c>
      <c r="B58" s="2" t="s">
        <v>354</v>
      </c>
      <c r="C58" s="2" t="s">
        <v>416</v>
      </c>
      <c r="D58" s="2" t="s">
        <v>100</v>
      </c>
      <c r="E58" s="2" t="s">
        <v>417</v>
      </c>
      <c r="F58" s="2">
        <v>10.980725637319043</v>
      </c>
      <c r="G58" s="2">
        <v>106.66699645164708</v>
      </c>
      <c r="H58" s="4">
        <v>18.195804173909355</v>
      </c>
      <c r="I58" s="2" t="s">
        <v>205</v>
      </c>
      <c r="J58" s="2" t="s">
        <v>205</v>
      </c>
      <c r="K58" s="2" t="s">
        <v>348</v>
      </c>
      <c r="L58" s="2" t="s">
        <v>466</v>
      </c>
      <c r="M58" s="2" t="s">
        <v>467</v>
      </c>
    </row>
    <row r="59" spans="1:13" ht="28">
      <c r="A59" s="2" t="s">
        <v>418</v>
      </c>
      <c r="B59" s="2" t="s">
        <v>354</v>
      </c>
      <c r="C59" s="2" t="s">
        <v>419</v>
      </c>
      <c r="D59" s="2" t="s">
        <v>96</v>
      </c>
      <c r="E59" s="2" t="s">
        <v>420</v>
      </c>
      <c r="F59" s="2">
        <v>10.354163972264349</v>
      </c>
      <c r="G59" s="2">
        <v>107.08359559766816</v>
      </c>
      <c r="H59" s="4">
        <v>63.577455449728774</v>
      </c>
      <c r="I59" s="2" t="s">
        <v>205</v>
      </c>
      <c r="J59" s="2" t="s">
        <v>205</v>
      </c>
      <c r="K59" s="2" t="s">
        <v>342</v>
      </c>
      <c r="L59" s="2" t="s">
        <v>466</v>
      </c>
      <c r="M59" s="2" t="s">
        <v>467</v>
      </c>
    </row>
    <row r="60" spans="1:13" ht="28">
      <c r="A60" s="2" t="s">
        <v>421</v>
      </c>
      <c r="B60" s="2" t="s">
        <v>251</v>
      </c>
      <c r="C60" s="2" t="s">
        <v>422</v>
      </c>
      <c r="D60" s="2" t="s">
        <v>100</v>
      </c>
      <c r="E60" s="2" t="s">
        <v>423</v>
      </c>
      <c r="F60" s="2">
        <v>10.986896768525884</v>
      </c>
      <c r="G60" s="2">
        <v>106.66552026514027</v>
      </c>
      <c r="H60" s="4">
        <v>18.844185645579653</v>
      </c>
      <c r="I60" s="2" t="s">
        <v>205</v>
      </c>
      <c r="J60" s="2" t="s">
        <v>205</v>
      </c>
      <c r="K60" s="2" t="s">
        <v>348</v>
      </c>
      <c r="L60" s="2" t="s">
        <v>466</v>
      </c>
      <c r="M60" s="2" t="s">
        <v>467</v>
      </c>
    </row>
    <row r="61" spans="1:13" ht="28">
      <c r="A61" s="2" t="s">
        <v>424</v>
      </c>
      <c r="B61" s="2" t="s">
        <v>251</v>
      </c>
      <c r="C61" s="2" t="s">
        <v>425</v>
      </c>
      <c r="D61" s="2" t="s">
        <v>59</v>
      </c>
      <c r="E61" s="2" t="s">
        <v>426</v>
      </c>
      <c r="F61" s="2">
        <v>10.896075197554149</v>
      </c>
      <c r="G61" s="2">
        <v>106.76727229767316</v>
      </c>
      <c r="H61" s="4">
        <v>5.1709208510804814</v>
      </c>
      <c r="I61" s="2" t="s">
        <v>205</v>
      </c>
      <c r="J61" s="2" t="s">
        <v>205</v>
      </c>
      <c r="K61" s="2" t="s">
        <v>348</v>
      </c>
      <c r="L61" s="2" t="s">
        <v>466</v>
      </c>
      <c r="M61" s="2" t="s">
        <v>467</v>
      </c>
    </row>
    <row r="62" spans="1:13" ht="28">
      <c r="A62" s="2" t="s">
        <v>427</v>
      </c>
      <c r="B62" s="2" t="s">
        <v>251</v>
      </c>
      <c r="C62" s="2" t="s">
        <v>428</v>
      </c>
      <c r="D62" s="2" t="s">
        <v>96</v>
      </c>
      <c r="E62" s="2" t="s">
        <v>429</v>
      </c>
      <c r="F62" s="2">
        <v>10.367975818050381</v>
      </c>
      <c r="G62" s="2">
        <v>107.0841261727504</v>
      </c>
      <c r="H62" s="4">
        <v>62.534035497036591</v>
      </c>
      <c r="I62" s="2" t="s">
        <v>205</v>
      </c>
      <c r="J62" s="2" t="s">
        <v>205</v>
      </c>
      <c r="K62" s="2" t="s">
        <v>342</v>
      </c>
      <c r="L62" s="2" t="s">
        <v>466</v>
      </c>
      <c r="M62" s="2" t="s">
        <v>467</v>
      </c>
    </row>
    <row r="63" spans="1:13" ht="28">
      <c r="A63" s="2" t="s">
        <v>430</v>
      </c>
      <c r="B63" s="2" t="s">
        <v>251</v>
      </c>
      <c r="C63" s="2" t="s">
        <v>431</v>
      </c>
      <c r="D63" s="2" t="s">
        <v>86</v>
      </c>
      <c r="E63" s="2" t="s">
        <v>432</v>
      </c>
      <c r="F63" s="2">
        <v>10.493279128454828</v>
      </c>
      <c r="G63" s="2">
        <v>107.17098975164252</v>
      </c>
      <c r="H63" s="4">
        <v>59.343153731273112</v>
      </c>
      <c r="I63" s="2" t="s">
        <v>205</v>
      </c>
      <c r="J63" s="2" t="s">
        <v>205</v>
      </c>
      <c r="K63" s="2" t="s">
        <v>348</v>
      </c>
      <c r="L63" s="2" t="s">
        <v>466</v>
      </c>
      <c r="M63" s="2" t="s">
        <v>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36" customWidth="1"/>
    <col min="3" max="3" width="30" customWidth="1"/>
    <col min="4" max="4" width="14" customWidth="1"/>
    <col min="5" max="5" width="26" customWidth="1"/>
    <col min="6" max="6" width="55" customWidth="1"/>
    <col min="7" max="7" width="60" customWidth="1"/>
    <col min="8" max="9" width="48" customWidth="1"/>
  </cols>
  <sheetData>
    <row r="1" spans="1:9">
      <c r="A1" s="9" t="s">
        <v>468</v>
      </c>
      <c r="B1" s="9" t="s">
        <v>469</v>
      </c>
      <c r="C1" s="9" t="s">
        <v>470</v>
      </c>
      <c r="D1" s="9" t="s">
        <v>471</v>
      </c>
      <c r="E1" s="9" t="s">
        <v>472</v>
      </c>
      <c r="F1" s="9" t="s">
        <v>473</v>
      </c>
      <c r="G1" s="9" t="s">
        <v>474</v>
      </c>
      <c r="H1" s="9" t="s">
        <v>475</v>
      </c>
      <c r="I1" s="9" t="s">
        <v>476</v>
      </c>
    </row>
    <row r="2" spans="1:9" ht="42">
      <c r="A2" s="2" t="s">
        <v>10</v>
      </c>
      <c r="B2" s="2" t="s">
        <v>477</v>
      </c>
      <c r="C2" s="2" t="s">
        <v>478</v>
      </c>
      <c r="D2" s="2" t="s">
        <v>479</v>
      </c>
      <c r="E2" s="2" t="s">
        <v>480</v>
      </c>
      <c r="F2" s="2" t="s">
        <v>481</v>
      </c>
      <c r="G2" s="2" t="s">
        <v>482</v>
      </c>
      <c r="H2" s="2" t="s">
        <v>483</v>
      </c>
      <c r="I2" s="2" t="s">
        <v>484</v>
      </c>
    </row>
    <row r="3" spans="1:9" ht="42">
      <c r="A3" s="2" t="s">
        <v>10</v>
      </c>
      <c r="B3" s="2" t="s">
        <v>485</v>
      </c>
      <c r="C3" s="2" t="s">
        <v>478</v>
      </c>
      <c r="D3" s="2" t="s">
        <v>479</v>
      </c>
      <c r="E3" s="2" t="s">
        <v>480</v>
      </c>
      <c r="F3" s="2" t="s">
        <v>481</v>
      </c>
      <c r="G3" s="2" t="s">
        <v>486</v>
      </c>
      <c r="H3" s="2" t="s">
        <v>487</v>
      </c>
      <c r="I3" s="2" t="s">
        <v>488</v>
      </c>
    </row>
    <row r="4" spans="1:9" ht="28">
      <c r="A4" s="2" t="s">
        <v>10</v>
      </c>
      <c r="B4" s="2" t="s">
        <v>489</v>
      </c>
      <c r="C4" s="2" t="s">
        <v>490</v>
      </c>
      <c r="D4" s="2" t="s">
        <v>491</v>
      </c>
      <c r="E4" s="2" t="s">
        <v>480</v>
      </c>
      <c r="F4" s="2" t="s">
        <v>492</v>
      </c>
      <c r="G4" s="2" t="s">
        <v>493</v>
      </c>
      <c r="H4" s="2" t="s">
        <v>494</v>
      </c>
      <c r="I4" s="2" t="s">
        <v>495</v>
      </c>
    </row>
    <row r="5" spans="1:9" ht="28">
      <c r="A5" s="2" t="s">
        <v>26</v>
      </c>
      <c r="B5" s="2" t="s">
        <v>496</v>
      </c>
      <c r="C5" s="2" t="s">
        <v>497</v>
      </c>
      <c r="D5" s="2" t="s">
        <v>498</v>
      </c>
      <c r="E5" s="2" t="s">
        <v>480</v>
      </c>
      <c r="F5" s="2" t="s">
        <v>499</v>
      </c>
      <c r="G5" s="2" t="s">
        <v>500</v>
      </c>
      <c r="H5" s="2" t="s">
        <v>501</v>
      </c>
      <c r="I5" s="2" t="s">
        <v>502</v>
      </c>
    </row>
    <row r="6" spans="1:9" ht="28">
      <c r="A6" s="2" t="s">
        <v>26</v>
      </c>
      <c r="B6" s="2" t="s">
        <v>503</v>
      </c>
      <c r="C6" s="2" t="s">
        <v>504</v>
      </c>
      <c r="D6" s="2" t="s">
        <v>505</v>
      </c>
      <c r="E6" s="2" t="s">
        <v>480</v>
      </c>
      <c r="F6" s="2" t="s">
        <v>506</v>
      </c>
      <c r="G6" s="2" t="s">
        <v>507</v>
      </c>
      <c r="H6" s="2" t="s">
        <v>508</v>
      </c>
      <c r="I6" s="2" t="s">
        <v>509</v>
      </c>
    </row>
    <row r="7" spans="1:9" ht="28">
      <c r="A7" s="2" t="s">
        <v>26</v>
      </c>
      <c r="B7" s="2" t="s">
        <v>510</v>
      </c>
      <c r="C7" s="2" t="s">
        <v>511</v>
      </c>
      <c r="D7" s="2" t="s">
        <v>512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</row>
    <row r="8" spans="1:9" ht="42">
      <c r="A8" s="2" t="s">
        <v>26</v>
      </c>
      <c r="B8" s="2" t="s">
        <v>518</v>
      </c>
      <c r="C8" s="2" t="s">
        <v>519</v>
      </c>
      <c r="D8" s="2" t="s">
        <v>505</v>
      </c>
      <c r="E8" s="2" t="s">
        <v>480</v>
      </c>
      <c r="F8" s="2" t="s">
        <v>520</v>
      </c>
      <c r="G8" s="2" t="s">
        <v>521</v>
      </c>
      <c r="H8" s="2" t="s">
        <v>522</v>
      </c>
      <c r="I8" s="2" t="s">
        <v>523</v>
      </c>
    </row>
    <row r="9" spans="1:9" ht="28">
      <c r="A9" s="2" t="s">
        <v>44</v>
      </c>
      <c r="B9" s="2" t="s">
        <v>524</v>
      </c>
      <c r="C9" s="2" t="s">
        <v>525</v>
      </c>
      <c r="D9" s="2" t="s">
        <v>526</v>
      </c>
      <c r="E9" s="2" t="s">
        <v>480</v>
      </c>
      <c r="F9" s="2" t="s">
        <v>527</v>
      </c>
      <c r="G9" s="2" t="s">
        <v>528</v>
      </c>
      <c r="H9" s="2" t="s">
        <v>529</v>
      </c>
      <c r="I9" s="2" t="s">
        <v>530</v>
      </c>
    </row>
    <row r="10" spans="1:9" ht="28">
      <c r="A10" s="2" t="s">
        <v>44</v>
      </c>
      <c r="B10" s="2" t="s">
        <v>531</v>
      </c>
      <c r="C10" s="2" t="s">
        <v>504</v>
      </c>
      <c r="D10" s="2" t="s">
        <v>532</v>
      </c>
      <c r="E10" s="2" t="s">
        <v>480</v>
      </c>
      <c r="F10" s="2" t="s">
        <v>533</v>
      </c>
      <c r="G10" s="2" t="s">
        <v>534</v>
      </c>
      <c r="H10" s="2" t="s">
        <v>535</v>
      </c>
      <c r="I10" s="2" t="s">
        <v>536</v>
      </c>
    </row>
    <row r="11" spans="1:9" ht="28">
      <c r="A11" s="2" t="s">
        <v>262</v>
      </c>
      <c r="B11" s="2" t="s">
        <v>537</v>
      </c>
      <c r="C11" s="2" t="s">
        <v>538</v>
      </c>
      <c r="D11" s="2" t="s">
        <v>505</v>
      </c>
      <c r="E11" s="2" t="s">
        <v>480</v>
      </c>
      <c r="F11" s="2" t="s">
        <v>499</v>
      </c>
      <c r="G11" s="2" t="s">
        <v>539</v>
      </c>
      <c r="H11" s="2" t="s">
        <v>540</v>
      </c>
      <c r="I11" s="2" t="s">
        <v>541</v>
      </c>
    </row>
    <row r="12" spans="1:9" ht="28">
      <c r="A12" s="2" t="s">
        <v>262</v>
      </c>
      <c r="B12" s="2" t="s">
        <v>542</v>
      </c>
      <c r="C12" s="2" t="s">
        <v>543</v>
      </c>
      <c r="D12" s="2" t="s">
        <v>505</v>
      </c>
      <c r="E12" s="2" t="s">
        <v>480</v>
      </c>
      <c r="F12" s="2" t="s">
        <v>499</v>
      </c>
      <c r="G12" s="2" t="s">
        <v>544</v>
      </c>
      <c r="H12" s="2" t="s">
        <v>545</v>
      </c>
      <c r="I12" s="2" t="s">
        <v>546</v>
      </c>
    </row>
    <row r="13" spans="1:9" ht="42">
      <c r="A13" s="2" t="s">
        <v>262</v>
      </c>
      <c r="B13" s="2" t="s">
        <v>547</v>
      </c>
      <c r="C13" s="2" t="s">
        <v>548</v>
      </c>
      <c r="D13" s="2" t="s">
        <v>549</v>
      </c>
      <c r="E13" s="2" t="s">
        <v>480</v>
      </c>
      <c r="F13" s="2" t="s">
        <v>550</v>
      </c>
      <c r="G13" s="2" t="s">
        <v>551</v>
      </c>
      <c r="H13" s="2" t="s">
        <v>552</v>
      </c>
      <c r="I13" s="2" t="s">
        <v>553</v>
      </c>
    </row>
    <row r="14" spans="1:9" ht="28">
      <c r="A14" s="2" t="s">
        <v>262</v>
      </c>
      <c r="B14" s="2" t="s">
        <v>554</v>
      </c>
      <c r="C14" s="2" t="s">
        <v>555</v>
      </c>
      <c r="D14" s="2" t="s">
        <v>556</v>
      </c>
      <c r="E14" s="2" t="s">
        <v>480</v>
      </c>
      <c r="F14" s="2" t="s">
        <v>557</v>
      </c>
      <c r="G14" s="2" t="s">
        <v>558</v>
      </c>
      <c r="H14" s="2" t="s">
        <v>559</v>
      </c>
      <c r="I14" s="2" t="s">
        <v>560</v>
      </c>
    </row>
    <row r="15" spans="1:9" ht="28">
      <c r="A15" s="2" t="s">
        <v>221</v>
      </c>
      <c r="B15" s="2" t="s">
        <v>561</v>
      </c>
      <c r="C15" s="2" t="s">
        <v>497</v>
      </c>
      <c r="D15" s="2" t="s">
        <v>505</v>
      </c>
      <c r="E15" s="2" t="s">
        <v>480</v>
      </c>
      <c r="F15" s="2" t="s">
        <v>506</v>
      </c>
      <c r="G15" s="2" t="s">
        <v>562</v>
      </c>
      <c r="H15" s="2" t="s">
        <v>563</v>
      </c>
      <c r="I15" s="2" t="s">
        <v>564</v>
      </c>
    </row>
    <row r="16" spans="1:9" ht="28">
      <c r="A16" s="2" t="s">
        <v>221</v>
      </c>
      <c r="B16" s="2" t="s">
        <v>565</v>
      </c>
      <c r="C16" s="2" t="s">
        <v>519</v>
      </c>
      <c r="D16" s="2" t="s">
        <v>566</v>
      </c>
      <c r="E16" s="2" t="s">
        <v>480</v>
      </c>
      <c r="F16" s="2" t="s">
        <v>567</v>
      </c>
      <c r="G16" s="2" t="s">
        <v>568</v>
      </c>
      <c r="H16" s="2" t="s">
        <v>569</v>
      </c>
      <c r="I16" s="2" t="s">
        <v>570</v>
      </c>
    </row>
    <row r="17" spans="1:9" ht="28">
      <c r="A17" s="2" t="s">
        <v>221</v>
      </c>
      <c r="B17" s="2" t="s">
        <v>571</v>
      </c>
      <c r="C17" s="2" t="s">
        <v>572</v>
      </c>
      <c r="D17" s="2" t="s">
        <v>532</v>
      </c>
      <c r="E17" s="2" t="s">
        <v>480</v>
      </c>
      <c r="F17" s="2" t="s">
        <v>533</v>
      </c>
      <c r="G17" s="2" t="s">
        <v>573</v>
      </c>
      <c r="H17" s="2" t="s">
        <v>574</v>
      </c>
      <c r="I17" s="2" t="s">
        <v>575</v>
      </c>
    </row>
    <row r="18" spans="1:9" ht="28">
      <c r="A18" s="2" t="s">
        <v>221</v>
      </c>
      <c r="B18" s="2" t="s">
        <v>576</v>
      </c>
      <c r="C18" s="2" t="s">
        <v>577</v>
      </c>
      <c r="D18" s="2" t="s">
        <v>578</v>
      </c>
      <c r="E18" s="2" t="s">
        <v>513</v>
      </c>
      <c r="F18" s="2" t="s">
        <v>579</v>
      </c>
      <c r="G18" s="2" t="s">
        <v>580</v>
      </c>
      <c r="H18" s="2" t="s">
        <v>581</v>
      </c>
      <c r="I18" s="2" t="s">
        <v>582</v>
      </c>
    </row>
    <row r="19" spans="1:9" ht="28">
      <c r="A19" s="2" t="s">
        <v>59</v>
      </c>
      <c r="B19" s="2" t="s">
        <v>583</v>
      </c>
      <c r="C19" s="2" t="s">
        <v>584</v>
      </c>
      <c r="D19" s="2" t="s">
        <v>526</v>
      </c>
      <c r="E19" s="2" t="s">
        <v>480</v>
      </c>
      <c r="F19" s="2" t="s">
        <v>527</v>
      </c>
      <c r="G19" s="2" t="s">
        <v>585</v>
      </c>
      <c r="H19" s="2" t="s">
        <v>586</v>
      </c>
      <c r="I19" s="2" t="s">
        <v>587</v>
      </c>
    </row>
    <row r="20" spans="1:9" ht="28">
      <c r="A20" s="2" t="s">
        <v>59</v>
      </c>
      <c r="B20" s="2" t="s">
        <v>588</v>
      </c>
      <c r="C20" s="2" t="s">
        <v>584</v>
      </c>
      <c r="D20" s="2" t="s">
        <v>532</v>
      </c>
      <c r="E20" s="2" t="s">
        <v>480</v>
      </c>
      <c r="F20" s="2" t="s">
        <v>533</v>
      </c>
      <c r="G20" s="2" t="s">
        <v>589</v>
      </c>
      <c r="H20" s="2" t="s">
        <v>590</v>
      </c>
      <c r="I20" s="2" t="s">
        <v>591</v>
      </c>
    </row>
    <row r="21" spans="1:9" ht="28">
      <c r="A21" s="2" t="s">
        <v>248</v>
      </c>
      <c r="B21" s="2" t="s">
        <v>592</v>
      </c>
      <c r="C21" s="2" t="s">
        <v>593</v>
      </c>
      <c r="D21" s="2" t="s">
        <v>594</v>
      </c>
      <c r="E21" s="2" t="s">
        <v>480</v>
      </c>
      <c r="F21" s="2" t="s">
        <v>595</v>
      </c>
      <c r="G21" s="2" t="s">
        <v>596</v>
      </c>
      <c r="H21" s="2" t="s">
        <v>597</v>
      </c>
      <c r="I21" s="2" t="s">
        <v>598</v>
      </c>
    </row>
    <row r="22" spans="1:9" ht="28">
      <c r="A22" s="2" t="s">
        <v>248</v>
      </c>
      <c r="B22" s="2" t="s">
        <v>599</v>
      </c>
      <c r="C22" s="2" t="s">
        <v>543</v>
      </c>
      <c r="D22" s="2" t="s">
        <v>600</v>
      </c>
      <c r="E22" s="2" t="s">
        <v>480</v>
      </c>
      <c r="F22" s="2" t="s">
        <v>601</v>
      </c>
      <c r="G22" s="2" t="s">
        <v>602</v>
      </c>
      <c r="H22" s="2" t="s">
        <v>603</v>
      </c>
      <c r="I22" s="2" t="s">
        <v>604</v>
      </c>
    </row>
    <row r="23" spans="1:9" ht="28">
      <c r="A23" s="2" t="s">
        <v>211</v>
      </c>
      <c r="B23" s="2" t="s">
        <v>605</v>
      </c>
      <c r="C23" s="2" t="s">
        <v>543</v>
      </c>
      <c r="D23" s="2" t="s">
        <v>600</v>
      </c>
      <c r="E23" s="2" t="s">
        <v>480</v>
      </c>
      <c r="F23" s="2" t="s">
        <v>606</v>
      </c>
      <c r="G23" s="2" t="s">
        <v>607</v>
      </c>
      <c r="H23" s="2" t="s">
        <v>608</v>
      </c>
      <c r="I23" s="2" t="s">
        <v>609</v>
      </c>
    </row>
    <row r="24" spans="1:9" ht="28">
      <c r="A24" s="2" t="s">
        <v>201</v>
      </c>
      <c r="B24" s="2" t="s">
        <v>610</v>
      </c>
      <c r="C24" s="2" t="s">
        <v>611</v>
      </c>
      <c r="D24" s="2" t="s">
        <v>600</v>
      </c>
      <c r="E24" s="2" t="s">
        <v>480</v>
      </c>
      <c r="F24" s="2" t="s">
        <v>612</v>
      </c>
      <c r="G24" s="2" t="s">
        <v>613</v>
      </c>
      <c r="H24" s="2" t="s">
        <v>614</v>
      </c>
      <c r="I24" s="2" t="s">
        <v>615</v>
      </c>
    </row>
    <row r="25" spans="1:9" ht="28">
      <c r="A25" s="2" t="s">
        <v>243</v>
      </c>
      <c r="B25" s="2" t="s">
        <v>616</v>
      </c>
      <c r="C25" s="2" t="s">
        <v>611</v>
      </c>
      <c r="D25" s="2" t="s">
        <v>600</v>
      </c>
      <c r="E25" s="2" t="s">
        <v>480</v>
      </c>
      <c r="F25" s="2" t="s">
        <v>617</v>
      </c>
      <c r="G25" s="2" t="s">
        <v>618</v>
      </c>
      <c r="H25" s="2" t="s">
        <v>619</v>
      </c>
      <c r="I25" s="2" t="s">
        <v>564</v>
      </c>
    </row>
    <row r="26" spans="1:9" ht="28">
      <c r="A26" s="2" t="s">
        <v>272</v>
      </c>
      <c r="B26" s="2" t="s">
        <v>620</v>
      </c>
      <c r="C26" s="2" t="s">
        <v>621</v>
      </c>
      <c r="D26" s="2" t="s">
        <v>600</v>
      </c>
      <c r="E26" s="2" t="s">
        <v>480</v>
      </c>
      <c r="F26" s="2" t="s">
        <v>622</v>
      </c>
      <c r="G26" s="2" t="s">
        <v>623</v>
      </c>
      <c r="H26" s="2" t="s">
        <v>624</v>
      </c>
      <c r="I26" s="2" t="s">
        <v>625</v>
      </c>
    </row>
    <row r="27" spans="1:9" ht="42">
      <c r="A27" s="2" t="s">
        <v>344</v>
      </c>
      <c r="B27" s="2" t="s">
        <v>626</v>
      </c>
      <c r="C27" s="2" t="s">
        <v>627</v>
      </c>
      <c r="D27" s="2" t="s">
        <v>628</v>
      </c>
      <c r="E27" s="2" t="s">
        <v>480</v>
      </c>
      <c r="F27" s="2" t="s">
        <v>629</v>
      </c>
      <c r="G27" s="2" t="s">
        <v>630</v>
      </c>
      <c r="H27" s="2" t="s">
        <v>631</v>
      </c>
      <c r="I27" s="2" t="s">
        <v>632</v>
      </c>
    </row>
    <row r="28" spans="1:9" ht="28">
      <c r="A28" s="2" t="s">
        <v>283</v>
      </c>
      <c r="B28" s="2" t="s">
        <v>633</v>
      </c>
      <c r="C28" s="2" t="s">
        <v>634</v>
      </c>
      <c r="D28" s="2" t="s">
        <v>600</v>
      </c>
      <c r="E28" s="2" t="s">
        <v>480</v>
      </c>
      <c r="F28" s="2" t="s">
        <v>606</v>
      </c>
      <c r="G28" s="2" t="s">
        <v>635</v>
      </c>
      <c r="H28" s="2" t="s">
        <v>636</v>
      </c>
      <c r="I28" s="2" t="s">
        <v>637</v>
      </c>
    </row>
    <row r="29" spans="1:9" ht="28">
      <c r="A29" s="2" t="s">
        <v>258</v>
      </c>
      <c r="B29" s="2" t="s">
        <v>638</v>
      </c>
      <c r="C29" s="2" t="s">
        <v>504</v>
      </c>
      <c r="D29" s="2" t="s">
        <v>532</v>
      </c>
      <c r="E29" s="2" t="s">
        <v>480</v>
      </c>
      <c r="F29" s="2" t="s">
        <v>533</v>
      </c>
      <c r="G29" s="2" t="s">
        <v>639</v>
      </c>
      <c r="H29" s="2" t="s">
        <v>640</v>
      </c>
      <c r="I29" s="2" t="s">
        <v>641</v>
      </c>
    </row>
    <row r="30" spans="1:9" ht="28">
      <c r="A30" s="2" t="s">
        <v>258</v>
      </c>
      <c r="B30" s="2" t="s">
        <v>642</v>
      </c>
      <c r="C30" s="2" t="s">
        <v>504</v>
      </c>
      <c r="D30" s="2" t="s">
        <v>532</v>
      </c>
      <c r="E30" s="2" t="s">
        <v>480</v>
      </c>
      <c r="F30" s="2" t="s">
        <v>533</v>
      </c>
      <c r="G30" s="2" t="s">
        <v>643</v>
      </c>
      <c r="H30" s="2" t="s">
        <v>644</v>
      </c>
      <c r="I30" s="2" t="s">
        <v>645</v>
      </c>
    </row>
    <row r="31" spans="1:9" ht="28">
      <c r="A31" s="2" t="s">
        <v>258</v>
      </c>
      <c r="B31" s="2" t="s">
        <v>646</v>
      </c>
      <c r="C31" s="2" t="s">
        <v>647</v>
      </c>
      <c r="D31" s="2" t="s">
        <v>648</v>
      </c>
      <c r="E31" s="2" t="s">
        <v>480</v>
      </c>
      <c r="F31" s="2" t="s">
        <v>649</v>
      </c>
      <c r="G31" s="2" t="s">
        <v>650</v>
      </c>
      <c r="H31" s="2" t="s">
        <v>651</v>
      </c>
      <c r="I31" s="2" t="s">
        <v>652</v>
      </c>
    </row>
    <row r="32" spans="1:9" ht="28">
      <c r="A32" s="2" t="s">
        <v>76</v>
      </c>
      <c r="B32" s="2" t="s">
        <v>653</v>
      </c>
      <c r="C32" s="2" t="s">
        <v>654</v>
      </c>
      <c r="D32" s="2" t="s">
        <v>655</v>
      </c>
      <c r="E32" s="2" t="s">
        <v>480</v>
      </c>
      <c r="F32" s="2" t="s">
        <v>527</v>
      </c>
      <c r="G32" s="2" t="s">
        <v>656</v>
      </c>
      <c r="H32" s="2" t="s">
        <v>657</v>
      </c>
      <c r="I32" s="2" t="s">
        <v>641</v>
      </c>
    </row>
    <row r="33" spans="1:9" ht="42">
      <c r="A33" s="2" t="s">
        <v>276</v>
      </c>
      <c r="B33" s="2" t="s">
        <v>658</v>
      </c>
      <c r="C33" s="2" t="s">
        <v>659</v>
      </c>
      <c r="D33" s="2" t="s">
        <v>660</v>
      </c>
      <c r="E33" s="2" t="s">
        <v>480</v>
      </c>
      <c r="F33" s="2" t="s">
        <v>661</v>
      </c>
      <c r="G33" s="2" t="s">
        <v>662</v>
      </c>
      <c r="H33" s="2" t="s">
        <v>663</v>
      </c>
      <c r="I33" s="2" t="s">
        <v>664</v>
      </c>
    </row>
    <row r="34" spans="1:9" ht="28">
      <c r="A34" s="2" t="s">
        <v>276</v>
      </c>
      <c r="B34" s="2" t="s">
        <v>665</v>
      </c>
      <c r="C34" s="2" t="s">
        <v>666</v>
      </c>
      <c r="D34" s="2" t="s">
        <v>600</v>
      </c>
      <c r="E34" s="2" t="s">
        <v>480</v>
      </c>
      <c r="F34" s="2" t="s">
        <v>606</v>
      </c>
      <c r="G34" s="2" t="s">
        <v>667</v>
      </c>
      <c r="H34" s="2" t="s">
        <v>668</v>
      </c>
      <c r="I34" s="2" t="s">
        <v>669</v>
      </c>
    </row>
    <row r="35" spans="1:9" ht="126">
      <c r="A35" s="2" t="s">
        <v>96</v>
      </c>
      <c r="B35" s="2" t="s">
        <v>670</v>
      </c>
      <c r="C35" s="2" t="s">
        <v>671</v>
      </c>
      <c r="D35" s="2" t="s">
        <v>672</v>
      </c>
      <c r="E35" s="2" t="s">
        <v>673</v>
      </c>
      <c r="F35" s="2" t="s">
        <v>674</v>
      </c>
      <c r="G35" s="2" t="s">
        <v>675</v>
      </c>
      <c r="H35" s="2" t="s">
        <v>676</v>
      </c>
      <c r="I35" s="2" t="s">
        <v>677</v>
      </c>
    </row>
    <row r="36" spans="1:9" ht="28">
      <c r="A36" s="2" t="s">
        <v>100</v>
      </c>
      <c r="B36" s="2" t="s">
        <v>102</v>
      </c>
      <c r="C36" s="2" t="s">
        <v>678</v>
      </c>
      <c r="D36" s="2" t="s">
        <v>679</v>
      </c>
      <c r="E36" s="2" t="s">
        <v>680</v>
      </c>
      <c r="F36" s="2" t="s">
        <v>106</v>
      </c>
      <c r="G36" s="2" t="s">
        <v>681</v>
      </c>
      <c r="H36" s="2" t="s">
        <v>682</v>
      </c>
      <c r="I36" s="2" t="s">
        <v>109</v>
      </c>
    </row>
    <row r="37" spans="1:9" ht="42">
      <c r="A37" s="2" t="s">
        <v>86</v>
      </c>
      <c r="B37" s="2" t="s">
        <v>683</v>
      </c>
      <c r="C37" s="2" t="s">
        <v>684</v>
      </c>
      <c r="D37" s="2" t="s">
        <v>105</v>
      </c>
      <c r="E37" s="2" t="s">
        <v>685</v>
      </c>
      <c r="F37" s="2" t="s">
        <v>686</v>
      </c>
      <c r="G37" s="2" t="s">
        <v>687</v>
      </c>
      <c r="H37" s="2" t="s">
        <v>688</v>
      </c>
      <c r="I37" s="2" t="s">
        <v>689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4" width="18" customWidth="1"/>
    <col min="5" max="7" width="24" customWidth="1"/>
    <col min="8" max="8" width="46" customWidth="1"/>
    <col min="9" max="9" width="40" customWidth="1"/>
    <col min="10" max="10" width="50" customWidth="1"/>
  </cols>
  <sheetData>
    <row r="1" spans="1:10" ht="42">
      <c r="A1" s="9" t="s">
        <v>468</v>
      </c>
      <c r="B1" s="9" t="s">
        <v>690</v>
      </c>
      <c r="C1" s="9" t="s">
        <v>691</v>
      </c>
      <c r="D1" s="9" t="s">
        <v>692</v>
      </c>
      <c r="E1" s="9" t="s">
        <v>693</v>
      </c>
      <c r="F1" s="9" t="s">
        <v>694</v>
      </c>
      <c r="G1" s="9" t="s">
        <v>695</v>
      </c>
      <c r="H1" s="9" t="s">
        <v>696</v>
      </c>
      <c r="I1" s="9" t="s">
        <v>697</v>
      </c>
      <c r="J1" s="9" t="s">
        <v>698</v>
      </c>
    </row>
    <row r="2" spans="1:10" ht="28">
      <c r="A2" s="2" t="s">
        <v>283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 t="s">
        <v>213</v>
      </c>
      <c r="H2" s="2" t="s">
        <v>699</v>
      </c>
      <c r="I2" s="2" t="s">
        <v>700</v>
      </c>
      <c r="J2" s="2" t="s">
        <v>701</v>
      </c>
    </row>
    <row r="3" spans="1:10" ht="28">
      <c r="A3" s="2" t="s">
        <v>248</v>
      </c>
      <c r="B3" s="2">
        <v>2</v>
      </c>
      <c r="C3" s="2">
        <v>2</v>
      </c>
      <c r="D3" s="2">
        <v>2</v>
      </c>
      <c r="E3" s="2">
        <v>2</v>
      </c>
      <c r="F3" s="2">
        <v>1</v>
      </c>
      <c r="G3" s="2" t="s">
        <v>213</v>
      </c>
      <c r="H3" s="2" t="s">
        <v>699</v>
      </c>
      <c r="I3" s="2" t="s">
        <v>700</v>
      </c>
      <c r="J3" s="2" t="s">
        <v>701</v>
      </c>
    </row>
    <row r="4" spans="1:10" ht="28">
      <c r="A4" s="2" t="s">
        <v>221</v>
      </c>
      <c r="B4" s="2">
        <v>4</v>
      </c>
      <c r="C4" s="2">
        <v>4</v>
      </c>
      <c r="D4" s="2">
        <v>4</v>
      </c>
      <c r="E4" s="2">
        <v>3</v>
      </c>
      <c r="F4" s="2">
        <v>2</v>
      </c>
      <c r="G4" s="2" t="s">
        <v>213</v>
      </c>
      <c r="H4" s="2" t="s">
        <v>699</v>
      </c>
      <c r="I4" s="2" t="s">
        <v>700</v>
      </c>
      <c r="J4" s="2" t="s">
        <v>701</v>
      </c>
    </row>
    <row r="5" spans="1:10" ht="28">
      <c r="A5" s="2" t="s">
        <v>211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 t="s">
        <v>213</v>
      </c>
      <c r="H5" s="2" t="s">
        <v>699</v>
      </c>
      <c r="I5" s="2" t="s">
        <v>700</v>
      </c>
      <c r="J5" s="2" t="s">
        <v>701</v>
      </c>
    </row>
    <row r="6" spans="1:10" ht="28">
      <c r="A6" s="2" t="s">
        <v>201</v>
      </c>
      <c r="B6" s="2">
        <v>1</v>
      </c>
      <c r="C6" s="2">
        <v>1</v>
      </c>
      <c r="D6" s="2">
        <v>1</v>
      </c>
      <c r="E6" s="2">
        <v>1</v>
      </c>
      <c r="F6" s="2">
        <v>0</v>
      </c>
      <c r="G6" s="2" t="s">
        <v>213</v>
      </c>
      <c r="H6" s="2" t="s">
        <v>699</v>
      </c>
      <c r="I6" s="2" t="s">
        <v>700</v>
      </c>
      <c r="J6" s="2" t="s">
        <v>701</v>
      </c>
    </row>
    <row r="7" spans="1:10" ht="28">
      <c r="A7" s="2" t="s">
        <v>262</v>
      </c>
      <c r="B7" s="2">
        <v>4</v>
      </c>
      <c r="C7" s="2">
        <v>3</v>
      </c>
      <c r="D7" s="2">
        <v>4</v>
      </c>
      <c r="E7" s="2">
        <v>3</v>
      </c>
      <c r="F7" s="2">
        <v>1</v>
      </c>
      <c r="G7" s="2" t="s">
        <v>213</v>
      </c>
      <c r="H7" s="2" t="s">
        <v>699</v>
      </c>
      <c r="I7" s="2" t="s">
        <v>700</v>
      </c>
      <c r="J7" s="2" t="s">
        <v>701</v>
      </c>
    </row>
    <row r="8" spans="1:10" ht="28">
      <c r="A8" s="2" t="s">
        <v>10</v>
      </c>
      <c r="B8" s="2">
        <v>3</v>
      </c>
      <c r="C8" s="2">
        <v>2</v>
      </c>
      <c r="D8" s="2">
        <v>3</v>
      </c>
      <c r="E8" s="2">
        <v>2</v>
      </c>
      <c r="F8" s="2">
        <v>1</v>
      </c>
      <c r="G8" s="2" t="s">
        <v>213</v>
      </c>
      <c r="H8" s="2" t="s">
        <v>699</v>
      </c>
      <c r="I8" s="2" t="s">
        <v>700</v>
      </c>
      <c r="J8" s="2" t="s">
        <v>701</v>
      </c>
    </row>
    <row r="9" spans="1:10" ht="28">
      <c r="A9" s="2" t="s">
        <v>26</v>
      </c>
      <c r="B9" s="2">
        <v>4</v>
      </c>
      <c r="C9" s="2">
        <v>4</v>
      </c>
      <c r="D9" s="2">
        <v>4</v>
      </c>
      <c r="E9" s="2">
        <v>4</v>
      </c>
      <c r="F9" s="2">
        <v>2</v>
      </c>
      <c r="G9" s="2" t="s">
        <v>213</v>
      </c>
      <c r="H9" s="2" t="s">
        <v>699</v>
      </c>
      <c r="I9" s="2" t="s">
        <v>700</v>
      </c>
      <c r="J9" s="2" t="s">
        <v>701</v>
      </c>
    </row>
    <row r="10" spans="1:10" ht="28">
      <c r="A10" s="2" t="s">
        <v>258</v>
      </c>
      <c r="B10" s="2">
        <v>3</v>
      </c>
      <c r="C10" s="2">
        <v>2</v>
      </c>
      <c r="D10" s="2">
        <v>3</v>
      </c>
      <c r="E10" s="2">
        <v>3</v>
      </c>
      <c r="F10" s="2">
        <v>0</v>
      </c>
      <c r="G10" s="2" t="s">
        <v>213</v>
      </c>
      <c r="H10" s="2" t="s">
        <v>699</v>
      </c>
      <c r="I10" s="2" t="s">
        <v>700</v>
      </c>
      <c r="J10" s="2" t="s">
        <v>701</v>
      </c>
    </row>
    <row r="11" spans="1:10" ht="28">
      <c r="A11" s="2" t="s">
        <v>243</v>
      </c>
      <c r="B11" s="2">
        <v>1</v>
      </c>
      <c r="C11" s="2">
        <v>1</v>
      </c>
      <c r="D11" s="2">
        <v>1</v>
      </c>
      <c r="E11" s="2">
        <v>1</v>
      </c>
      <c r="F11" s="2">
        <v>0</v>
      </c>
      <c r="G11" s="2" t="s">
        <v>213</v>
      </c>
      <c r="H11" s="2" t="s">
        <v>699</v>
      </c>
      <c r="I11" s="2" t="s">
        <v>700</v>
      </c>
      <c r="J11" s="2" t="s">
        <v>701</v>
      </c>
    </row>
    <row r="12" spans="1:10" ht="28">
      <c r="A12" s="2" t="s">
        <v>44</v>
      </c>
      <c r="B12" s="2">
        <v>2</v>
      </c>
      <c r="C12" s="2">
        <v>2</v>
      </c>
      <c r="D12" s="2">
        <v>2</v>
      </c>
      <c r="E12" s="2">
        <v>2</v>
      </c>
      <c r="F12" s="2">
        <v>0</v>
      </c>
      <c r="G12" s="2" t="s">
        <v>213</v>
      </c>
      <c r="H12" s="2" t="s">
        <v>699</v>
      </c>
      <c r="I12" s="2" t="s">
        <v>700</v>
      </c>
      <c r="J12" s="2" t="s">
        <v>701</v>
      </c>
    </row>
    <row r="13" spans="1:10" ht="28">
      <c r="A13" s="2" t="s">
        <v>59</v>
      </c>
      <c r="B13" s="2">
        <v>2</v>
      </c>
      <c r="C13" s="2">
        <v>2</v>
      </c>
      <c r="D13" s="2">
        <v>2</v>
      </c>
      <c r="E13" s="2">
        <v>0</v>
      </c>
      <c r="F13" s="2">
        <v>2</v>
      </c>
      <c r="G13" s="2" t="s">
        <v>213</v>
      </c>
      <c r="H13" s="2" t="s">
        <v>699</v>
      </c>
      <c r="I13" s="2" t="s">
        <v>700</v>
      </c>
      <c r="J13" s="2" t="s">
        <v>701</v>
      </c>
    </row>
    <row r="14" spans="1:10" ht="28">
      <c r="A14" s="2" t="s">
        <v>272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 t="s">
        <v>213</v>
      </c>
      <c r="H14" s="2" t="s">
        <v>699</v>
      </c>
      <c r="I14" s="2" t="s">
        <v>700</v>
      </c>
      <c r="J14" s="2" t="s">
        <v>701</v>
      </c>
    </row>
    <row r="15" spans="1:10" ht="28">
      <c r="A15" s="2" t="s">
        <v>276</v>
      </c>
      <c r="B15" s="2">
        <v>2</v>
      </c>
      <c r="C15" s="2">
        <v>2</v>
      </c>
      <c r="D15" s="2">
        <v>2</v>
      </c>
      <c r="E15" s="2">
        <v>2</v>
      </c>
      <c r="F15" s="2">
        <v>1</v>
      </c>
      <c r="G15" s="2" t="s">
        <v>213</v>
      </c>
      <c r="H15" s="2" t="s">
        <v>699</v>
      </c>
      <c r="I15" s="2" t="s">
        <v>700</v>
      </c>
      <c r="J15" s="2" t="s">
        <v>701</v>
      </c>
    </row>
    <row r="16" spans="1:10" ht="28">
      <c r="A16" s="2" t="s">
        <v>100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 t="s">
        <v>213</v>
      </c>
      <c r="H16" s="2" t="s">
        <v>699</v>
      </c>
      <c r="I16" s="2" t="s">
        <v>700</v>
      </c>
      <c r="J16" s="2" t="s">
        <v>701</v>
      </c>
    </row>
    <row r="17" spans="1:10" ht="28">
      <c r="A17" s="2" t="s">
        <v>96</v>
      </c>
      <c r="B17" s="2">
        <v>1</v>
      </c>
      <c r="C17" s="2">
        <v>1</v>
      </c>
      <c r="D17" s="2">
        <v>1</v>
      </c>
      <c r="E17" s="2">
        <v>0</v>
      </c>
      <c r="F17" s="2">
        <v>0</v>
      </c>
      <c r="G17" s="2" t="s">
        <v>702</v>
      </c>
      <c r="H17" s="2" t="s">
        <v>699</v>
      </c>
      <c r="I17" s="2" t="s">
        <v>700</v>
      </c>
      <c r="J17" s="2" t="s">
        <v>701</v>
      </c>
    </row>
    <row r="18" spans="1:10" ht="28">
      <c r="A18" s="2" t="s">
        <v>86</v>
      </c>
      <c r="B18" s="2">
        <v>1</v>
      </c>
      <c r="C18" s="2">
        <v>1</v>
      </c>
      <c r="D18" s="2">
        <v>1</v>
      </c>
      <c r="E18" s="2">
        <v>0</v>
      </c>
      <c r="F18" s="2">
        <v>0</v>
      </c>
      <c r="G18" s="2" t="s">
        <v>213</v>
      </c>
      <c r="H18" s="2" t="s">
        <v>699</v>
      </c>
      <c r="I18" s="2" t="s">
        <v>700</v>
      </c>
      <c r="J18" s="2" t="s">
        <v>701</v>
      </c>
    </row>
    <row r="19" spans="1:10" ht="28">
      <c r="A19" s="2" t="s">
        <v>76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 t="s">
        <v>213</v>
      </c>
      <c r="H19" s="2" t="s">
        <v>699</v>
      </c>
      <c r="I19" s="2" t="s">
        <v>700</v>
      </c>
      <c r="J19" s="2" t="s">
        <v>701</v>
      </c>
    </row>
    <row r="20" spans="1:10" ht="28">
      <c r="A20" s="2" t="s">
        <v>344</v>
      </c>
      <c r="B20" s="2">
        <v>1</v>
      </c>
      <c r="C20" s="2">
        <v>1</v>
      </c>
      <c r="D20" s="2">
        <v>1</v>
      </c>
      <c r="E20" s="2">
        <v>1</v>
      </c>
      <c r="F20" s="2">
        <v>0</v>
      </c>
      <c r="G20" s="2" t="s">
        <v>213</v>
      </c>
      <c r="H20" s="2" t="s">
        <v>699</v>
      </c>
      <c r="I20" s="2" t="s">
        <v>700</v>
      </c>
      <c r="J20" s="2" t="s">
        <v>701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0"/>
  <sheetViews>
    <sheetView workbookViewId="0">
      <pane ySplit="1" topLeftCell="A2" activePane="bottomLeft" state="frozen"/>
      <selection pane="bottomLeft"/>
    </sheetView>
  </sheetViews>
  <sheetFormatPr defaultRowHeight="14"/>
  <cols>
    <col min="1" max="2" width="16" customWidth="1"/>
    <col min="3" max="3" width="17" customWidth="1"/>
    <col min="4" max="4" width="16" customWidth="1"/>
    <col min="5" max="5" width="15" customWidth="1"/>
    <col min="6" max="6" width="20" customWidth="1"/>
    <col min="7" max="7" width="22" customWidth="1"/>
    <col min="8" max="9" width="16" customWidth="1"/>
    <col min="10" max="10" width="17" customWidth="1"/>
    <col min="11" max="11" width="16" customWidth="1"/>
    <col min="12" max="12" width="18" customWidth="1"/>
    <col min="13" max="14" width="22" customWidth="1"/>
    <col min="15" max="15" width="16" customWidth="1"/>
    <col min="16" max="16" width="18" customWidth="1"/>
    <col min="17" max="17" width="20" customWidth="1"/>
    <col min="18" max="18" width="24" customWidth="1"/>
    <col min="19" max="19" width="18" customWidth="1"/>
    <col min="20" max="20" width="34" customWidth="1"/>
    <col min="21" max="21" width="32" customWidth="1"/>
    <col min="22" max="25" width="55" customWidth="1"/>
    <col min="26" max="26" width="30" customWidth="1"/>
    <col min="27" max="27" width="65" customWidth="1"/>
  </cols>
  <sheetData>
    <row r="1" spans="1:27" ht="42">
      <c r="A1" s="9" t="s">
        <v>187</v>
      </c>
      <c r="B1" s="9" t="s">
        <v>703</v>
      </c>
      <c r="C1" s="9" t="s">
        <v>704</v>
      </c>
      <c r="D1" s="9" t="s">
        <v>705</v>
      </c>
      <c r="E1" s="9" t="s">
        <v>436</v>
      </c>
      <c r="F1" s="9" t="s">
        <v>706</v>
      </c>
      <c r="G1" s="9" t="s">
        <v>707</v>
      </c>
      <c r="H1" s="9" t="s">
        <v>708</v>
      </c>
      <c r="I1" s="9" t="s">
        <v>709</v>
      </c>
      <c r="J1" s="9" t="s">
        <v>710</v>
      </c>
      <c r="K1" s="9" t="s">
        <v>711</v>
      </c>
      <c r="L1" s="9" t="s">
        <v>712</v>
      </c>
      <c r="M1" s="9" t="s">
        <v>713</v>
      </c>
      <c r="N1" s="9" t="s">
        <v>714</v>
      </c>
      <c r="O1" s="9" t="s">
        <v>715</v>
      </c>
      <c r="P1" s="9" t="s">
        <v>716</v>
      </c>
      <c r="Q1" s="9" t="s">
        <v>717</v>
      </c>
      <c r="R1" s="9" t="s">
        <v>718</v>
      </c>
      <c r="S1" s="9" t="s">
        <v>719</v>
      </c>
      <c r="T1" s="9" t="s">
        <v>720</v>
      </c>
      <c r="U1" s="9" t="s">
        <v>721</v>
      </c>
      <c r="V1" s="9" t="s">
        <v>722</v>
      </c>
      <c r="W1" s="9" t="s">
        <v>723</v>
      </c>
      <c r="X1" s="9" t="s">
        <v>724</v>
      </c>
      <c r="Y1" s="9" t="s">
        <v>725</v>
      </c>
      <c r="Z1" s="9" t="s">
        <v>726</v>
      </c>
      <c r="AA1" s="9" t="s">
        <v>465</v>
      </c>
    </row>
    <row r="2" spans="1:27" ht="28">
      <c r="A2" s="2" t="s">
        <v>283</v>
      </c>
      <c r="B2" s="2" t="s">
        <v>205</v>
      </c>
      <c r="C2" s="2">
        <v>7</v>
      </c>
      <c r="D2" s="2">
        <v>3</v>
      </c>
      <c r="E2" s="2">
        <v>1</v>
      </c>
      <c r="F2" s="2">
        <v>1.7098372561557234</v>
      </c>
      <c r="G2" s="2">
        <v>28.571428571428573</v>
      </c>
      <c r="H2" s="2">
        <v>2023</v>
      </c>
      <c r="I2" s="2">
        <v>211.59</v>
      </c>
      <c r="J2" s="2">
        <v>1225192</v>
      </c>
      <c r="K2" s="2">
        <v>5790</v>
      </c>
      <c r="L2" s="2">
        <v>33868</v>
      </c>
      <c r="M2" s="2">
        <v>1132649</v>
      </c>
      <c r="N2" s="2">
        <v>13.696999999999999</v>
      </c>
      <c r="O2" s="2">
        <v>1</v>
      </c>
      <c r="P2" s="2">
        <v>1</v>
      </c>
      <c r="Q2" s="2">
        <v>1</v>
      </c>
      <c r="R2" s="2" t="s">
        <v>727</v>
      </c>
      <c r="S2" s="2">
        <v>76.3</v>
      </c>
      <c r="T2" s="2" t="s">
        <v>728</v>
      </c>
      <c r="U2" s="2" t="s">
        <v>729</v>
      </c>
      <c r="V2" s="2" t="s">
        <v>730</v>
      </c>
      <c r="W2" s="2" t="s">
        <v>731</v>
      </c>
      <c r="X2" s="2" t="s">
        <v>135</v>
      </c>
      <c r="Y2" s="2" t="s">
        <v>732</v>
      </c>
      <c r="Z2" s="2" t="s">
        <v>733</v>
      </c>
      <c r="AA2" s="2" t="s">
        <v>734</v>
      </c>
    </row>
    <row r="3" spans="1:27" ht="28">
      <c r="A3" s="2" t="s">
        <v>248</v>
      </c>
      <c r="B3" s="2" t="s">
        <v>205</v>
      </c>
      <c r="C3" s="2">
        <v>6</v>
      </c>
      <c r="D3" s="2">
        <v>4</v>
      </c>
      <c r="E3" s="2">
        <v>1</v>
      </c>
      <c r="F3" s="2">
        <v>1.7346925128560797</v>
      </c>
      <c r="G3" s="2">
        <v>0</v>
      </c>
      <c r="H3" s="2">
        <v>2023</v>
      </c>
      <c r="I3" s="2">
        <v>22.43</v>
      </c>
      <c r="J3" s="2">
        <v>502185</v>
      </c>
      <c r="K3" s="2">
        <v>22389</v>
      </c>
      <c r="L3" s="2">
        <v>16619</v>
      </c>
      <c r="M3" s="2">
        <v>545162</v>
      </c>
      <c r="N3" s="2">
        <v>16.056999999999999</v>
      </c>
      <c r="O3" s="2">
        <v>2</v>
      </c>
      <c r="P3" s="2">
        <v>2</v>
      </c>
      <c r="Q3" s="2">
        <v>2</v>
      </c>
      <c r="R3" s="2" t="s">
        <v>735</v>
      </c>
      <c r="S3" s="2">
        <v>65.849999999999994</v>
      </c>
      <c r="T3" s="2" t="s">
        <v>736</v>
      </c>
      <c r="U3" s="2" t="s">
        <v>729</v>
      </c>
      <c r="V3" s="2" t="s">
        <v>730</v>
      </c>
      <c r="W3" s="2" t="s">
        <v>731</v>
      </c>
      <c r="X3" s="2" t="s">
        <v>135</v>
      </c>
      <c r="Y3" s="2" t="s">
        <v>737</v>
      </c>
      <c r="Z3" s="2" t="s">
        <v>733</v>
      </c>
      <c r="AA3" s="2" t="s">
        <v>734</v>
      </c>
    </row>
    <row r="4" spans="1:27" ht="28">
      <c r="A4" s="2" t="s">
        <v>221</v>
      </c>
      <c r="B4" s="2" t="s">
        <v>205</v>
      </c>
      <c r="C4" s="2">
        <v>6</v>
      </c>
      <c r="D4" s="2">
        <v>6</v>
      </c>
      <c r="E4" s="2">
        <v>0</v>
      </c>
      <c r="F4" s="2">
        <v>5.2593558094406045</v>
      </c>
      <c r="G4" s="2">
        <v>50</v>
      </c>
      <c r="H4" s="2">
        <v>2023</v>
      </c>
      <c r="I4" s="2">
        <v>20.78</v>
      </c>
      <c r="J4" s="2">
        <v>486494</v>
      </c>
      <c r="K4" s="2">
        <v>23412</v>
      </c>
      <c r="L4" s="2">
        <v>15694</v>
      </c>
      <c r="M4" s="2">
        <v>541057</v>
      </c>
      <c r="N4" s="2">
        <v>11.353999999999999</v>
      </c>
      <c r="O4" s="2">
        <v>4</v>
      </c>
      <c r="P4" s="2">
        <v>4</v>
      </c>
      <c r="Q4" s="2">
        <v>4</v>
      </c>
      <c r="R4" s="2" t="s">
        <v>738</v>
      </c>
      <c r="S4" s="2">
        <v>82</v>
      </c>
      <c r="T4" s="2" t="s">
        <v>739</v>
      </c>
      <c r="U4" s="2" t="s">
        <v>729</v>
      </c>
      <c r="V4" s="2" t="s">
        <v>730</v>
      </c>
      <c r="W4" s="2" t="s">
        <v>731</v>
      </c>
      <c r="X4" s="2" t="s">
        <v>135</v>
      </c>
      <c r="Y4" s="2" t="s">
        <v>740</v>
      </c>
      <c r="Z4" s="2" t="s">
        <v>733</v>
      </c>
      <c r="AA4" s="2" t="s">
        <v>734</v>
      </c>
    </row>
    <row r="5" spans="1:27" ht="28">
      <c r="A5" s="2" t="s">
        <v>211</v>
      </c>
      <c r="B5" s="2" t="s">
        <v>205</v>
      </c>
      <c r="C5" s="2">
        <v>6</v>
      </c>
      <c r="D5" s="2">
        <v>5</v>
      </c>
      <c r="E5" s="2">
        <v>0</v>
      </c>
      <c r="F5" s="2">
        <v>1.2607804225227413</v>
      </c>
      <c r="G5" s="2">
        <v>0</v>
      </c>
      <c r="H5" s="2">
        <v>2023</v>
      </c>
      <c r="I5" s="2">
        <v>5.72</v>
      </c>
      <c r="J5" s="2">
        <v>229046</v>
      </c>
      <c r="K5" s="2">
        <v>40043</v>
      </c>
      <c r="L5" s="2">
        <v>5838</v>
      </c>
      <c r="M5" s="2">
        <v>207273</v>
      </c>
      <c r="N5" s="2">
        <v>15.013999999999999</v>
      </c>
      <c r="O5" s="2">
        <v>1</v>
      </c>
      <c r="P5" s="2">
        <v>1</v>
      </c>
      <c r="Q5" s="2">
        <v>1</v>
      </c>
      <c r="R5" s="2" t="s">
        <v>741</v>
      </c>
      <c r="S5" s="2">
        <v>71.5</v>
      </c>
      <c r="T5" s="2" t="s">
        <v>736</v>
      </c>
      <c r="U5" s="2" t="s">
        <v>729</v>
      </c>
      <c r="V5" s="2" t="s">
        <v>730</v>
      </c>
      <c r="W5" s="2" t="s">
        <v>731</v>
      </c>
      <c r="X5" s="2" t="s">
        <v>135</v>
      </c>
      <c r="Y5" s="2" t="s">
        <v>740</v>
      </c>
      <c r="Z5" s="2" t="s">
        <v>733</v>
      </c>
      <c r="AA5" s="2" t="s">
        <v>734</v>
      </c>
    </row>
    <row r="6" spans="1:27" ht="28">
      <c r="A6" s="2" t="s">
        <v>201</v>
      </c>
      <c r="B6" s="2" t="s">
        <v>205</v>
      </c>
      <c r="C6" s="2">
        <v>5</v>
      </c>
      <c r="D6" s="2">
        <v>4</v>
      </c>
      <c r="E6" s="2">
        <v>0</v>
      </c>
      <c r="F6" s="2">
        <v>2.2923017906265239</v>
      </c>
      <c r="G6" s="2">
        <v>0</v>
      </c>
      <c r="H6" s="2">
        <v>2023</v>
      </c>
      <c r="I6" s="2">
        <v>7.72</v>
      </c>
      <c r="J6" s="2">
        <v>141722</v>
      </c>
      <c r="K6" s="2">
        <v>18358</v>
      </c>
      <c r="L6" s="2">
        <v>16922</v>
      </c>
      <c r="M6" s="2">
        <v>2008597</v>
      </c>
      <c r="N6" s="2">
        <v>18.382000000000001</v>
      </c>
      <c r="O6" s="2">
        <v>1</v>
      </c>
      <c r="P6" s="2">
        <v>1</v>
      </c>
      <c r="Q6" s="2">
        <v>1</v>
      </c>
      <c r="R6" s="2" t="s">
        <v>742</v>
      </c>
      <c r="S6" s="2">
        <v>479.5</v>
      </c>
      <c r="T6" s="2" t="s">
        <v>739</v>
      </c>
      <c r="U6" s="2" t="s">
        <v>729</v>
      </c>
      <c r="V6" s="2" t="s">
        <v>730</v>
      </c>
      <c r="W6" s="2" t="s">
        <v>731</v>
      </c>
      <c r="X6" s="2" t="s">
        <v>135</v>
      </c>
      <c r="Y6" s="2" t="s">
        <v>743</v>
      </c>
      <c r="Z6" s="2" t="s">
        <v>733</v>
      </c>
      <c r="AA6" s="2" t="s">
        <v>734</v>
      </c>
    </row>
    <row r="7" spans="1:27" ht="28">
      <c r="A7" s="2" t="s">
        <v>262</v>
      </c>
      <c r="B7" s="2" t="s">
        <v>205</v>
      </c>
      <c r="C7" s="2">
        <v>4</v>
      </c>
      <c r="D7" s="2">
        <v>3</v>
      </c>
      <c r="E7" s="2">
        <v>0</v>
      </c>
      <c r="F7" s="2">
        <v>8.767002324038037</v>
      </c>
      <c r="G7" s="2">
        <v>100</v>
      </c>
      <c r="H7" s="2">
        <v>2023</v>
      </c>
      <c r="I7" s="2">
        <v>52.74</v>
      </c>
      <c r="J7" s="2">
        <v>731898</v>
      </c>
      <c r="K7" s="2">
        <v>13877</v>
      </c>
      <c r="L7" s="2">
        <v>14394</v>
      </c>
      <c r="M7" s="2">
        <v>190993</v>
      </c>
      <c r="N7" s="2">
        <v>10.709</v>
      </c>
      <c r="O7" s="2">
        <v>4</v>
      </c>
      <c r="P7" s="2">
        <v>3</v>
      </c>
      <c r="Q7" s="2">
        <v>4</v>
      </c>
      <c r="R7" s="2" t="s">
        <v>744</v>
      </c>
      <c r="S7" s="2">
        <v>46.95</v>
      </c>
      <c r="T7" s="2" t="s">
        <v>736</v>
      </c>
      <c r="U7" s="2" t="s">
        <v>729</v>
      </c>
      <c r="V7" s="2" t="s">
        <v>730</v>
      </c>
      <c r="W7" s="2" t="s">
        <v>731</v>
      </c>
      <c r="X7" s="2" t="s">
        <v>135</v>
      </c>
      <c r="Y7" s="2" t="s">
        <v>745</v>
      </c>
      <c r="Z7" s="2" t="s">
        <v>733</v>
      </c>
      <c r="AA7" s="2" t="s">
        <v>734</v>
      </c>
    </row>
    <row r="8" spans="1:27" ht="28">
      <c r="A8" s="2" t="s">
        <v>10</v>
      </c>
      <c r="B8" s="2" t="s">
        <v>205</v>
      </c>
      <c r="C8" s="2">
        <v>4</v>
      </c>
      <c r="D8" s="2">
        <v>3</v>
      </c>
      <c r="E8" s="2">
        <v>0</v>
      </c>
      <c r="F8" s="2">
        <v>4.6598192585509208</v>
      </c>
      <c r="G8" s="2">
        <v>50</v>
      </c>
      <c r="H8" s="2">
        <v>2023</v>
      </c>
      <c r="I8" s="2">
        <v>35.69</v>
      </c>
      <c r="J8" s="2">
        <v>356180</v>
      </c>
      <c r="K8" s="2">
        <v>9980</v>
      </c>
      <c r="L8" s="2">
        <v>10092</v>
      </c>
      <c r="M8" s="2">
        <v>619079</v>
      </c>
      <c r="N8" s="2">
        <v>16.699000000000002</v>
      </c>
      <c r="O8" s="2">
        <v>3</v>
      </c>
      <c r="P8" s="2">
        <v>2</v>
      </c>
      <c r="Q8" s="2">
        <v>3</v>
      </c>
      <c r="R8" s="2" t="s">
        <v>746</v>
      </c>
      <c r="S8" s="2">
        <v>60.5</v>
      </c>
      <c r="T8" s="2" t="s">
        <v>736</v>
      </c>
      <c r="U8" s="2" t="s">
        <v>729</v>
      </c>
      <c r="V8" s="2" t="s">
        <v>730</v>
      </c>
      <c r="W8" s="2" t="s">
        <v>731</v>
      </c>
      <c r="X8" s="2" t="s">
        <v>135</v>
      </c>
      <c r="Y8" s="2" t="s">
        <v>740</v>
      </c>
      <c r="Z8" s="2" t="s">
        <v>733</v>
      </c>
      <c r="AA8" s="2" t="s">
        <v>734</v>
      </c>
    </row>
    <row r="9" spans="1:27" ht="28">
      <c r="A9" s="2" t="s">
        <v>26</v>
      </c>
      <c r="B9" s="2" t="s">
        <v>205</v>
      </c>
      <c r="C9" s="2">
        <v>3</v>
      </c>
      <c r="D9" s="2">
        <v>3</v>
      </c>
      <c r="E9" s="2">
        <v>0</v>
      </c>
      <c r="F9" s="2">
        <v>7.2778954790688806</v>
      </c>
      <c r="G9" s="2">
        <v>100</v>
      </c>
      <c r="H9" s="2">
        <v>2023</v>
      </c>
      <c r="I9" s="2">
        <v>52.02</v>
      </c>
      <c r="J9" s="2">
        <v>797906</v>
      </c>
      <c r="K9" s="2">
        <v>15338</v>
      </c>
      <c r="L9" s="2">
        <v>15418</v>
      </c>
      <c r="M9" s="2">
        <v>291340</v>
      </c>
      <c r="N9" s="2">
        <v>10.151999999999999</v>
      </c>
      <c r="O9" s="2">
        <v>4</v>
      </c>
      <c r="P9" s="2">
        <v>4</v>
      </c>
      <c r="Q9" s="2">
        <v>4</v>
      </c>
      <c r="R9" s="2" t="s">
        <v>747</v>
      </c>
      <c r="S9" s="2">
        <v>56.1</v>
      </c>
      <c r="T9" s="2" t="s">
        <v>736</v>
      </c>
      <c r="U9" s="2" t="s">
        <v>729</v>
      </c>
      <c r="V9" s="2" t="s">
        <v>730</v>
      </c>
      <c r="W9" s="2" t="s">
        <v>731</v>
      </c>
      <c r="X9" s="2" t="s">
        <v>135</v>
      </c>
      <c r="Y9" s="2" t="s">
        <v>748</v>
      </c>
      <c r="Z9" s="2" t="s">
        <v>733</v>
      </c>
      <c r="AA9" s="2" t="s">
        <v>734</v>
      </c>
    </row>
    <row r="10" spans="1:27" ht="28">
      <c r="A10" s="2" t="s">
        <v>258</v>
      </c>
      <c r="B10" s="2" t="s">
        <v>205</v>
      </c>
      <c r="C10" s="2">
        <v>3</v>
      </c>
      <c r="D10" s="2">
        <v>3</v>
      </c>
      <c r="E10" s="2">
        <v>0</v>
      </c>
      <c r="F10" s="2">
        <v>3.8923992420269755</v>
      </c>
      <c r="G10" s="2">
        <v>0</v>
      </c>
      <c r="H10" s="2">
        <v>2023</v>
      </c>
      <c r="I10" s="2">
        <v>19.73</v>
      </c>
      <c r="J10" s="2">
        <v>683654</v>
      </c>
      <c r="K10" s="2">
        <v>34650</v>
      </c>
      <c r="L10" s="2">
        <v>17012</v>
      </c>
      <c r="M10" s="2">
        <v>259860</v>
      </c>
      <c r="N10" s="2">
        <v>10.848000000000001</v>
      </c>
      <c r="O10" s="2">
        <v>3</v>
      </c>
      <c r="P10" s="2">
        <v>2</v>
      </c>
      <c r="Q10" s="2">
        <v>3</v>
      </c>
      <c r="R10" s="2" t="s">
        <v>749</v>
      </c>
      <c r="S10" s="2">
        <v>56.95</v>
      </c>
      <c r="T10" s="2" t="s">
        <v>736</v>
      </c>
      <c r="U10" s="2" t="s">
        <v>729</v>
      </c>
      <c r="V10" s="2" t="s">
        <v>730</v>
      </c>
      <c r="W10" s="2" t="s">
        <v>731</v>
      </c>
      <c r="X10" s="2" t="s">
        <v>135</v>
      </c>
      <c r="Y10" s="2" t="s">
        <v>750</v>
      </c>
      <c r="Z10" s="2" t="s">
        <v>733</v>
      </c>
      <c r="AA10" s="2" t="s">
        <v>734</v>
      </c>
    </row>
    <row r="11" spans="1:27" ht="28">
      <c r="A11" s="2" t="s">
        <v>243</v>
      </c>
      <c r="B11" s="2" t="s">
        <v>205</v>
      </c>
      <c r="C11" s="2">
        <v>3</v>
      </c>
      <c r="D11" s="2">
        <v>2</v>
      </c>
      <c r="E11" s="2">
        <v>0</v>
      </c>
      <c r="F11" s="2">
        <v>2.0183122706965517</v>
      </c>
      <c r="G11" s="2">
        <v>0</v>
      </c>
      <c r="H11" s="2">
        <v>2023</v>
      </c>
      <c r="I11" s="2">
        <v>4.92</v>
      </c>
      <c r="J11" s="2">
        <v>189931</v>
      </c>
      <c r="K11" s="2">
        <v>38604</v>
      </c>
      <c r="L11" s="2">
        <v>9465</v>
      </c>
      <c r="M11" s="2">
        <v>518188</v>
      </c>
      <c r="N11" s="2">
        <v>15.95</v>
      </c>
      <c r="O11" s="2">
        <v>1</v>
      </c>
      <c r="P11" s="2">
        <v>1</v>
      </c>
      <c r="Q11" s="2">
        <v>1</v>
      </c>
      <c r="R11" s="2" t="s">
        <v>751</v>
      </c>
      <c r="S11" s="2">
        <v>105.95</v>
      </c>
      <c r="T11" s="2" t="s">
        <v>739</v>
      </c>
      <c r="U11" s="2" t="s">
        <v>729</v>
      </c>
      <c r="V11" s="2" t="s">
        <v>730</v>
      </c>
      <c r="W11" s="2" t="s">
        <v>731</v>
      </c>
      <c r="X11" s="2" t="s">
        <v>135</v>
      </c>
      <c r="Y11" s="2" t="s">
        <v>752</v>
      </c>
      <c r="Z11" s="2" t="s">
        <v>733</v>
      </c>
      <c r="AA11" s="2" t="s">
        <v>734</v>
      </c>
    </row>
    <row r="12" spans="1:27" ht="28">
      <c r="A12" s="2" t="s">
        <v>44</v>
      </c>
      <c r="B12" s="2" t="s">
        <v>205</v>
      </c>
      <c r="C12" s="2">
        <v>3</v>
      </c>
      <c r="D12" s="2">
        <v>3</v>
      </c>
      <c r="E12" s="2">
        <v>0</v>
      </c>
      <c r="F12" s="2">
        <v>3.6417244666910662</v>
      </c>
      <c r="G12" s="2">
        <v>0</v>
      </c>
      <c r="H12" s="2">
        <v>2023</v>
      </c>
      <c r="I12" s="2">
        <v>15.97</v>
      </c>
      <c r="J12" s="2">
        <v>473280</v>
      </c>
      <c r="K12" s="2">
        <v>29636</v>
      </c>
      <c r="L12" s="2">
        <v>13935</v>
      </c>
      <c r="M12" s="2">
        <v>281002</v>
      </c>
      <c r="N12" s="2">
        <v>11.131</v>
      </c>
      <c r="O12" s="2">
        <v>2</v>
      </c>
      <c r="P12" s="2">
        <v>2</v>
      </c>
      <c r="Q12" s="2">
        <v>2</v>
      </c>
      <c r="R12" s="2" t="s">
        <v>753</v>
      </c>
      <c r="S12" s="2">
        <v>49.5</v>
      </c>
      <c r="T12" s="2" t="s">
        <v>736</v>
      </c>
      <c r="U12" s="2" t="s">
        <v>729</v>
      </c>
      <c r="V12" s="2" t="s">
        <v>730</v>
      </c>
      <c r="W12" s="2" t="s">
        <v>731</v>
      </c>
      <c r="X12" s="2" t="s">
        <v>135</v>
      </c>
      <c r="Y12" s="2" t="s">
        <v>740</v>
      </c>
      <c r="Z12" s="2" t="s">
        <v>733</v>
      </c>
      <c r="AA12" s="2" t="s">
        <v>734</v>
      </c>
    </row>
    <row r="13" spans="1:27" ht="28">
      <c r="A13" s="2" t="s">
        <v>59</v>
      </c>
      <c r="B13" s="2" t="s">
        <v>205</v>
      </c>
      <c r="C13" s="2">
        <v>2</v>
      </c>
      <c r="D13" s="2">
        <v>2</v>
      </c>
      <c r="E13" s="2">
        <v>0</v>
      </c>
      <c r="F13" s="2">
        <v>5.6400504098634157</v>
      </c>
      <c r="G13" s="2">
        <v>100</v>
      </c>
      <c r="H13" s="2">
        <v>2023</v>
      </c>
      <c r="I13" s="2">
        <v>60.05</v>
      </c>
      <c r="J13" s="2">
        <v>506481</v>
      </c>
      <c r="K13" s="2">
        <v>8434</v>
      </c>
      <c r="L13" s="2"/>
      <c r="M13" s="2"/>
      <c r="N13" s="2"/>
      <c r="O13" s="2">
        <v>2</v>
      </c>
      <c r="P13" s="2">
        <v>2</v>
      </c>
      <c r="Q13" s="2">
        <v>2</v>
      </c>
      <c r="R13" s="2" t="s">
        <v>754</v>
      </c>
      <c r="S13" s="2">
        <v>47.35</v>
      </c>
      <c r="T13" s="2" t="s">
        <v>736</v>
      </c>
      <c r="U13" s="2" t="s">
        <v>755</v>
      </c>
      <c r="V13" s="2" t="s">
        <v>756</v>
      </c>
      <c r="W13" s="2"/>
      <c r="X13" s="2"/>
      <c r="Y13" s="2" t="s">
        <v>757</v>
      </c>
      <c r="Z13" s="2" t="s">
        <v>758</v>
      </c>
      <c r="AA13" s="2" t="s">
        <v>734</v>
      </c>
    </row>
    <row r="14" spans="1:27" ht="28">
      <c r="A14" s="2" t="s">
        <v>272</v>
      </c>
      <c r="B14" s="2" t="s">
        <v>205</v>
      </c>
      <c r="C14" s="2">
        <v>2</v>
      </c>
      <c r="D14" s="2">
        <v>2</v>
      </c>
      <c r="E14" s="2">
        <v>0</v>
      </c>
      <c r="F14" s="2">
        <v>2.5263204312502059</v>
      </c>
      <c r="G14" s="2">
        <v>0</v>
      </c>
      <c r="H14" s="2">
        <v>2023</v>
      </c>
      <c r="I14" s="2">
        <v>4.18</v>
      </c>
      <c r="J14" s="2">
        <v>176501</v>
      </c>
      <c r="K14" s="2">
        <v>42225</v>
      </c>
      <c r="L14" s="2">
        <v>2986</v>
      </c>
      <c r="M14" s="2">
        <v>159729</v>
      </c>
      <c r="N14" s="2">
        <v>13.026</v>
      </c>
      <c r="O14" s="2">
        <v>1</v>
      </c>
      <c r="P14" s="2">
        <v>1</v>
      </c>
      <c r="Q14" s="2">
        <v>1</v>
      </c>
      <c r="R14" s="2" t="s">
        <v>759</v>
      </c>
      <c r="S14" s="2">
        <v>64</v>
      </c>
      <c r="T14" s="2" t="s">
        <v>736</v>
      </c>
      <c r="U14" s="2" t="s">
        <v>729</v>
      </c>
      <c r="V14" s="2" t="s">
        <v>730</v>
      </c>
      <c r="W14" s="2" t="s">
        <v>731</v>
      </c>
      <c r="X14" s="2" t="s">
        <v>135</v>
      </c>
      <c r="Y14" s="2" t="s">
        <v>740</v>
      </c>
      <c r="Z14" s="2" t="s">
        <v>733</v>
      </c>
      <c r="AA14" s="2" t="s">
        <v>734</v>
      </c>
    </row>
    <row r="15" spans="1:27" ht="28">
      <c r="A15" s="2" t="s">
        <v>276</v>
      </c>
      <c r="B15" s="2" t="s">
        <v>205</v>
      </c>
      <c r="C15" s="2">
        <v>2</v>
      </c>
      <c r="D15" s="2">
        <v>2</v>
      </c>
      <c r="E15" s="2">
        <v>0</v>
      </c>
      <c r="F15" s="2">
        <v>5.557992284915283</v>
      </c>
      <c r="G15" s="2">
        <v>100</v>
      </c>
      <c r="H15" s="2">
        <v>2023</v>
      </c>
      <c r="I15" s="2">
        <v>7.14</v>
      </c>
      <c r="J15" s="2">
        <v>238436</v>
      </c>
      <c r="K15" s="2">
        <v>33394</v>
      </c>
      <c r="L15" s="2">
        <v>3499</v>
      </c>
      <c r="M15" s="2">
        <v>74380</v>
      </c>
      <c r="N15" s="2">
        <v>11.577</v>
      </c>
      <c r="O15" s="2">
        <v>2</v>
      </c>
      <c r="P15" s="2">
        <v>2</v>
      </c>
      <c r="Q15" s="2">
        <v>2</v>
      </c>
      <c r="R15" s="2" t="s">
        <v>760</v>
      </c>
      <c r="S15" s="2">
        <v>55.75</v>
      </c>
      <c r="T15" s="2" t="s">
        <v>736</v>
      </c>
      <c r="U15" s="2" t="s">
        <v>729</v>
      </c>
      <c r="V15" s="2" t="s">
        <v>730</v>
      </c>
      <c r="W15" s="2" t="s">
        <v>731</v>
      </c>
      <c r="X15" s="2" t="s">
        <v>135</v>
      </c>
      <c r="Y15" s="2" t="s">
        <v>761</v>
      </c>
      <c r="Z15" s="2" t="s">
        <v>733</v>
      </c>
      <c r="AA15" s="2" t="s">
        <v>734</v>
      </c>
    </row>
    <row r="16" spans="1:27" ht="28">
      <c r="A16" s="2" t="s">
        <v>100</v>
      </c>
      <c r="B16" s="2" t="s">
        <v>205</v>
      </c>
      <c r="C16" s="2">
        <v>2</v>
      </c>
      <c r="D16" s="2">
        <v>2</v>
      </c>
      <c r="E16" s="2">
        <v>0</v>
      </c>
      <c r="F16" s="2">
        <v>18.519994909744504</v>
      </c>
      <c r="G16" s="2">
        <v>100</v>
      </c>
      <c r="H16" s="2">
        <v>2021</v>
      </c>
      <c r="I16" s="2">
        <v>118.91</v>
      </c>
      <c r="J16" s="2">
        <v>336705</v>
      </c>
      <c r="K16" s="2">
        <v>2832</v>
      </c>
      <c r="L16" s="2"/>
      <c r="M16" s="2"/>
      <c r="N16" s="2"/>
      <c r="O16" s="2">
        <v>1</v>
      </c>
      <c r="P16" s="2">
        <v>1</v>
      </c>
      <c r="Q16" s="2">
        <v>1</v>
      </c>
      <c r="R16" s="2" t="s">
        <v>762</v>
      </c>
      <c r="S16" s="2">
        <v>45.2</v>
      </c>
      <c r="T16" s="2" t="s">
        <v>763</v>
      </c>
      <c r="U16" s="2" t="s">
        <v>764</v>
      </c>
      <c r="V16" s="2" t="s">
        <v>765</v>
      </c>
      <c r="W16" s="2"/>
      <c r="X16" s="2"/>
      <c r="Y16" s="2" t="s">
        <v>766</v>
      </c>
      <c r="Z16" s="2" t="s">
        <v>758</v>
      </c>
      <c r="AA16" s="2" t="s">
        <v>734</v>
      </c>
    </row>
    <row r="17" spans="1:27" ht="28">
      <c r="A17" s="2" t="s">
        <v>96</v>
      </c>
      <c r="B17" s="2" t="s">
        <v>205</v>
      </c>
      <c r="C17" s="2">
        <v>2</v>
      </c>
      <c r="D17" s="2">
        <v>2</v>
      </c>
      <c r="E17" s="2">
        <v>0</v>
      </c>
      <c r="F17" s="2">
        <v>63.055745473382686</v>
      </c>
      <c r="G17" s="2">
        <v>100</v>
      </c>
      <c r="H17" s="2">
        <v>2024</v>
      </c>
      <c r="I17" s="2">
        <v>150.89599999999999</v>
      </c>
      <c r="J17" s="2">
        <v>365500</v>
      </c>
      <c r="K17" s="2">
        <v>2422.1980701940411</v>
      </c>
      <c r="L17" s="2"/>
      <c r="M17" s="2"/>
      <c r="N17" s="2"/>
      <c r="O17" s="2">
        <v>1</v>
      </c>
      <c r="P17" s="2">
        <v>1</v>
      </c>
      <c r="Q17" s="2">
        <v>1</v>
      </c>
      <c r="R17" s="2" t="s">
        <v>767</v>
      </c>
      <c r="S17" s="2">
        <v>60.9</v>
      </c>
      <c r="T17" s="2" t="s">
        <v>736</v>
      </c>
      <c r="U17" s="2" t="s">
        <v>768</v>
      </c>
      <c r="V17" s="2" t="s">
        <v>769</v>
      </c>
      <c r="W17" s="2"/>
      <c r="X17" s="2"/>
      <c r="Y17" s="2" t="s">
        <v>770</v>
      </c>
      <c r="Z17" s="2" t="s">
        <v>758</v>
      </c>
      <c r="AA17" s="2" t="s">
        <v>734</v>
      </c>
    </row>
    <row r="18" spans="1:27" ht="28">
      <c r="A18" s="2" t="s">
        <v>86</v>
      </c>
      <c r="B18" s="2" t="s">
        <v>205</v>
      </c>
      <c r="C18" s="2">
        <v>1</v>
      </c>
      <c r="D18" s="2">
        <v>1</v>
      </c>
      <c r="E18" s="2">
        <v>0</v>
      </c>
      <c r="F18" s="2">
        <v>59.343153731273112</v>
      </c>
      <c r="G18" s="2">
        <v>100</v>
      </c>
      <c r="H18" s="2">
        <v>2023</v>
      </c>
      <c r="I18" s="2">
        <v>91.036000000000001</v>
      </c>
      <c r="J18" s="2">
        <v>108701</v>
      </c>
      <c r="K18" s="2">
        <v>1194.0441144162749</v>
      </c>
      <c r="L18" s="2"/>
      <c r="M18" s="2"/>
      <c r="N18" s="2"/>
      <c r="O18" s="2">
        <v>1</v>
      </c>
      <c r="P18" s="2">
        <v>1</v>
      </c>
      <c r="Q18" s="2">
        <v>1</v>
      </c>
      <c r="R18" s="2"/>
      <c r="S18" s="2"/>
      <c r="T18" s="2" t="s">
        <v>771</v>
      </c>
      <c r="U18" s="2" t="s">
        <v>772</v>
      </c>
      <c r="V18" s="2" t="s">
        <v>773</v>
      </c>
      <c r="W18" s="2"/>
      <c r="X18" s="2"/>
      <c r="Y18" s="2"/>
      <c r="Z18" s="2" t="s">
        <v>758</v>
      </c>
      <c r="AA18" s="2" t="s">
        <v>734</v>
      </c>
    </row>
    <row r="19" spans="1:27" ht="28">
      <c r="A19" s="2" t="s">
        <v>76</v>
      </c>
      <c r="B19" s="2" t="s">
        <v>205</v>
      </c>
      <c r="C19" s="2">
        <v>1</v>
      </c>
      <c r="D19" s="2">
        <v>1</v>
      </c>
      <c r="E19" s="2">
        <v>0</v>
      </c>
      <c r="F19" s="2">
        <v>1.2161608639423074</v>
      </c>
      <c r="G19" s="2">
        <v>0</v>
      </c>
      <c r="H19" s="2">
        <v>2023</v>
      </c>
      <c r="I19" s="2">
        <v>4.8600000000000003</v>
      </c>
      <c r="J19" s="2">
        <v>166100</v>
      </c>
      <c r="K19" s="2">
        <v>34177</v>
      </c>
      <c r="L19" s="2">
        <v>6541</v>
      </c>
      <c r="M19" s="2">
        <v>288516</v>
      </c>
      <c r="N19" s="2">
        <v>14.092000000000001</v>
      </c>
      <c r="O19" s="2">
        <v>1</v>
      </c>
      <c r="P19" s="2">
        <v>1</v>
      </c>
      <c r="Q19" s="2">
        <v>1</v>
      </c>
      <c r="R19" s="2" t="s">
        <v>774</v>
      </c>
      <c r="S19" s="2">
        <v>90.1</v>
      </c>
      <c r="T19" s="2" t="s">
        <v>736</v>
      </c>
      <c r="U19" s="2" t="s">
        <v>729</v>
      </c>
      <c r="V19" s="2" t="s">
        <v>730</v>
      </c>
      <c r="W19" s="2" t="s">
        <v>731</v>
      </c>
      <c r="X19" s="2" t="s">
        <v>135</v>
      </c>
      <c r="Y19" s="2" t="s">
        <v>82</v>
      </c>
      <c r="Z19" s="2" t="s">
        <v>733</v>
      </c>
      <c r="AA19" s="2" t="s">
        <v>734</v>
      </c>
    </row>
    <row r="20" spans="1:27" ht="28">
      <c r="A20" s="2" t="s">
        <v>344</v>
      </c>
      <c r="B20" s="2" t="s">
        <v>205</v>
      </c>
      <c r="C20" s="2">
        <v>0</v>
      </c>
      <c r="D20" s="2">
        <v>0</v>
      </c>
      <c r="E20" s="2">
        <v>1</v>
      </c>
      <c r="F20" s="2"/>
      <c r="G20" s="2"/>
      <c r="H20" s="2">
        <v>2023</v>
      </c>
      <c r="I20" s="2">
        <v>4.2699999999999996</v>
      </c>
      <c r="J20" s="2">
        <v>146461</v>
      </c>
      <c r="K20" s="2">
        <v>34300</v>
      </c>
      <c r="L20" s="2">
        <v>3065</v>
      </c>
      <c r="M20" s="2">
        <v>181403</v>
      </c>
      <c r="N20" s="2">
        <v>12.032</v>
      </c>
      <c r="O20" s="2">
        <v>1</v>
      </c>
      <c r="P20" s="2">
        <v>1</v>
      </c>
      <c r="Q20" s="2">
        <v>1</v>
      </c>
      <c r="R20" s="2" t="s">
        <v>775</v>
      </c>
      <c r="S20" s="2">
        <v>110.6</v>
      </c>
      <c r="T20" s="2" t="s">
        <v>776</v>
      </c>
      <c r="U20" s="2" t="s">
        <v>729</v>
      </c>
      <c r="V20" s="2" t="s">
        <v>730</v>
      </c>
      <c r="W20" s="2" t="s">
        <v>731</v>
      </c>
      <c r="X20" s="2" t="s">
        <v>135</v>
      </c>
      <c r="Y20" s="2" t="s">
        <v>777</v>
      </c>
      <c r="Z20" s="2" t="s">
        <v>733</v>
      </c>
      <c r="AA20" s="2" t="s">
        <v>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4" customWidth="1"/>
    <col min="2" max="2" width="110" customWidth="1"/>
  </cols>
  <sheetData>
    <row r="1" spans="1:2">
      <c r="A1" s="1" t="s">
        <v>778</v>
      </c>
      <c r="B1" s="1" t="s">
        <v>779</v>
      </c>
    </row>
    <row r="2" spans="1:2" ht="28">
      <c r="A2" s="2" t="s">
        <v>780</v>
      </c>
      <c r="B2" s="2" t="s">
        <v>781</v>
      </c>
    </row>
    <row r="3" spans="1:2">
      <c r="A3" s="2" t="s">
        <v>782</v>
      </c>
      <c r="B3" s="2" t="s">
        <v>783</v>
      </c>
    </row>
    <row r="4" spans="1:2">
      <c r="A4" s="2" t="s">
        <v>784</v>
      </c>
      <c r="B4" s="2" t="s">
        <v>785</v>
      </c>
    </row>
    <row r="5" spans="1:2" ht="28">
      <c r="A5" s="2" t="s">
        <v>101</v>
      </c>
      <c r="B5" s="2" t="s">
        <v>786</v>
      </c>
    </row>
    <row r="6" spans="1:2">
      <c r="A6" s="2" t="s">
        <v>787</v>
      </c>
      <c r="B6" s="2" t="s">
        <v>788</v>
      </c>
    </row>
    <row r="7" spans="1:2" ht="28">
      <c r="A7" s="2" t="s">
        <v>789</v>
      </c>
      <c r="B7" s="2" t="s">
        <v>790</v>
      </c>
    </row>
    <row r="8" spans="1:2" ht="28">
      <c r="A8" s="2" t="s">
        <v>791</v>
      </c>
      <c r="B8" s="2" t="s">
        <v>792</v>
      </c>
    </row>
    <row r="9" spans="1:2">
      <c r="A9" s="2" t="s">
        <v>793</v>
      </c>
      <c r="B9" s="2" t="s">
        <v>794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4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24" customWidth="1"/>
    <col min="3" max="3" width="34" customWidth="1"/>
    <col min="4" max="4" width="28" customWidth="1"/>
    <col min="5" max="5" width="52" customWidth="1"/>
    <col min="6" max="6" width="14" customWidth="1"/>
    <col min="7" max="7" width="55" customWidth="1"/>
    <col min="8" max="8" width="26" customWidth="1"/>
    <col min="9" max="9" width="42" customWidth="1"/>
    <col min="10" max="10" width="50" customWidth="1"/>
  </cols>
  <sheetData>
    <row r="1" spans="1:10">
      <c r="A1" s="7" t="s">
        <v>187</v>
      </c>
      <c r="B1" s="7" t="s">
        <v>795</v>
      </c>
      <c r="C1" s="7" t="s">
        <v>796</v>
      </c>
      <c r="D1" s="7" t="s">
        <v>797</v>
      </c>
      <c r="E1" s="7" t="s">
        <v>798</v>
      </c>
      <c r="F1" s="7" t="s">
        <v>799</v>
      </c>
      <c r="G1" s="7" t="s">
        <v>191</v>
      </c>
      <c r="H1" s="7" t="s">
        <v>800</v>
      </c>
      <c r="I1" s="7" t="s">
        <v>801</v>
      </c>
      <c r="J1" s="7" t="s">
        <v>802</v>
      </c>
    </row>
    <row r="2" spans="1:10" ht="28">
      <c r="A2" s="2" t="s">
        <v>262</v>
      </c>
      <c r="B2" s="2" t="s">
        <v>803</v>
      </c>
      <c r="C2" s="2" t="s">
        <v>804</v>
      </c>
      <c r="D2" s="2" t="s">
        <v>805</v>
      </c>
      <c r="E2" s="2" t="s">
        <v>806</v>
      </c>
      <c r="F2" s="2" t="s">
        <v>807</v>
      </c>
      <c r="G2" s="2" t="s">
        <v>808</v>
      </c>
      <c r="H2" s="2" t="s">
        <v>809</v>
      </c>
      <c r="I2" s="2" t="s">
        <v>810</v>
      </c>
      <c r="J2" s="2" t="s">
        <v>811</v>
      </c>
    </row>
    <row r="3" spans="1:10" ht="28">
      <c r="A3" s="2" t="s">
        <v>262</v>
      </c>
      <c r="B3" s="2" t="s">
        <v>812</v>
      </c>
      <c r="C3" s="2" t="s">
        <v>804</v>
      </c>
      <c r="D3" s="2" t="s">
        <v>813</v>
      </c>
      <c r="E3" s="2" t="s">
        <v>814</v>
      </c>
      <c r="F3" s="2" t="s">
        <v>81</v>
      </c>
      <c r="G3" s="2" t="s">
        <v>815</v>
      </c>
      <c r="H3" s="2" t="s">
        <v>809</v>
      </c>
      <c r="I3" s="2" t="s">
        <v>816</v>
      </c>
      <c r="J3" s="2" t="s">
        <v>817</v>
      </c>
    </row>
    <row r="4" spans="1:10" ht="28">
      <c r="A4" s="2" t="s">
        <v>283</v>
      </c>
      <c r="B4" s="2" t="s">
        <v>818</v>
      </c>
      <c r="C4" s="2" t="s">
        <v>819</v>
      </c>
      <c r="D4" s="2" t="s">
        <v>820</v>
      </c>
      <c r="E4" s="2" t="s">
        <v>821</v>
      </c>
      <c r="F4" s="2" t="s">
        <v>81</v>
      </c>
      <c r="G4" s="2" t="s">
        <v>822</v>
      </c>
      <c r="H4" s="2" t="s">
        <v>823</v>
      </c>
      <c r="I4" s="2" t="s">
        <v>824</v>
      </c>
      <c r="J4" s="2" t="s">
        <v>825</v>
      </c>
    </row>
    <row r="5" spans="1:10" ht="28">
      <c r="A5" s="2" t="s">
        <v>283</v>
      </c>
      <c r="B5" s="2" t="s">
        <v>818</v>
      </c>
      <c r="C5" s="2" t="s">
        <v>819</v>
      </c>
      <c r="D5" s="2" t="s">
        <v>826</v>
      </c>
      <c r="E5" s="2" t="s">
        <v>827</v>
      </c>
      <c r="F5" s="2" t="s">
        <v>81</v>
      </c>
      <c r="G5" s="2" t="s">
        <v>828</v>
      </c>
      <c r="H5" s="2" t="s">
        <v>823</v>
      </c>
      <c r="I5" s="2" t="s">
        <v>829</v>
      </c>
      <c r="J5" s="2" t="s">
        <v>830</v>
      </c>
    </row>
    <row r="6" spans="1:10" ht="28">
      <c r="A6" s="2" t="s">
        <v>258</v>
      </c>
      <c r="B6" s="2" t="s">
        <v>101</v>
      </c>
      <c r="C6" s="2" t="s">
        <v>831</v>
      </c>
      <c r="D6" s="2" t="s">
        <v>832</v>
      </c>
      <c r="E6" s="2" t="s">
        <v>833</v>
      </c>
      <c r="F6" s="2" t="s">
        <v>81</v>
      </c>
      <c r="G6" s="2" t="s">
        <v>533</v>
      </c>
      <c r="H6" s="2" t="s">
        <v>834</v>
      </c>
      <c r="I6" s="2" t="s">
        <v>835</v>
      </c>
      <c r="J6" s="2" t="s">
        <v>641</v>
      </c>
    </row>
    <row r="7" spans="1:10" ht="28">
      <c r="A7" s="2" t="s">
        <v>258</v>
      </c>
      <c r="B7" s="2" t="s">
        <v>101</v>
      </c>
      <c r="C7" s="2" t="s">
        <v>836</v>
      </c>
      <c r="D7" s="2" t="s">
        <v>837</v>
      </c>
      <c r="E7" s="2" t="s">
        <v>838</v>
      </c>
      <c r="F7" s="2" t="s">
        <v>81</v>
      </c>
      <c r="G7" s="2" t="s">
        <v>649</v>
      </c>
      <c r="H7" s="2" t="s">
        <v>834</v>
      </c>
      <c r="I7" s="2" t="s">
        <v>839</v>
      </c>
      <c r="J7" s="2" t="s">
        <v>840</v>
      </c>
    </row>
    <row r="8" spans="1:10" ht="28">
      <c r="A8" s="2" t="s">
        <v>59</v>
      </c>
      <c r="B8" s="2" t="s">
        <v>841</v>
      </c>
      <c r="C8" s="2" t="s">
        <v>842</v>
      </c>
      <c r="D8" s="2" t="s">
        <v>843</v>
      </c>
      <c r="E8" s="2" t="s">
        <v>844</v>
      </c>
      <c r="F8" s="2" t="s">
        <v>505</v>
      </c>
      <c r="G8" s="2" t="s">
        <v>845</v>
      </c>
      <c r="H8" s="2" t="s">
        <v>846</v>
      </c>
      <c r="I8" s="2" t="s">
        <v>847</v>
      </c>
      <c r="J8" s="2" t="s">
        <v>848</v>
      </c>
    </row>
    <row r="9" spans="1:10" ht="28">
      <c r="A9" s="2" t="s">
        <v>100</v>
      </c>
      <c r="B9" s="2" t="s">
        <v>841</v>
      </c>
      <c r="C9" s="2" t="s">
        <v>849</v>
      </c>
      <c r="D9" s="2" t="s">
        <v>843</v>
      </c>
      <c r="E9" s="2" t="s">
        <v>850</v>
      </c>
      <c r="F9" s="2" t="s">
        <v>851</v>
      </c>
      <c r="G9" s="2" t="s">
        <v>852</v>
      </c>
      <c r="H9" s="2" t="s">
        <v>846</v>
      </c>
      <c r="I9" s="2" t="s">
        <v>853</v>
      </c>
      <c r="J9" s="2" t="s">
        <v>854</v>
      </c>
    </row>
    <row r="10" spans="1:10" ht="98">
      <c r="A10" s="2" t="s">
        <v>96</v>
      </c>
      <c r="B10" s="2" t="s">
        <v>841</v>
      </c>
      <c r="C10" s="2" t="s">
        <v>97</v>
      </c>
      <c r="D10" s="2" t="s">
        <v>843</v>
      </c>
      <c r="E10" s="2" t="s">
        <v>855</v>
      </c>
      <c r="F10" s="2" t="s">
        <v>105</v>
      </c>
      <c r="G10" s="2" t="s">
        <v>856</v>
      </c>
      <c r="H10" s="2" t="s">
        <v>846</v>
      </c>
      <c r="I10" s="2" t="s">
        <v>853</v>
      </c>
      <c r="J10" s="2" t="s">
        <v>857</v>
      </c>
    </row>
    <row r="11" spans="1:10" ht="28">
      <c r="A11" s="2" t="s">
        <v>86</v>
      </c>
      <c r="B11" s="2" t="s">
        <v>841</v>
      </c>
      <c r="C11" s="2" t="s">
        <v>88</v>
      </c>
      <c r="D11" s="2" t="s">
        <v>843</v>
      </c>
      <c r="E11" s="2" t="s">
        <v>858</v>
      </c>
      <c r="F11" s="2" t="s">
        <v>505</v>
      </c>
      <c r="G11" s="2" t="s">
        <v>859</v>
      </c>
      <c r="H11" s="2" t="s">
        <v>860</v>
      </c>
      <c r="I11" s="2" t="s">
        <v>861</v>
      </c>
      <c r="J11" s="2" t="s">
        <v>862</v>
      </c>
    </row>
    <row r="12" spans="1:10">
      <c r="A12" s="2" t="s">
        <v>344</v>
      </c>
      <c r="B12" s="2" t="s">
        <v>77</v>
      </c>
      <c r="C12" s="2" t="s">
        <v>78</v>
      </c>
      <c r="D12" s="2" t="s">
        <v>79</v>
      </c>
      <c r="E12" s="2" t="s">
        <v>863</v>
      </c>
      <c r="F12" s="2" t="s">
        <v>81</v>
      </c>
      <c r="G12" s="2" t="s">
        <v>777</v>
      </c>
      <c r="H12" s="2" t="s">
        <v>864</v>
      </c>
      <c r="I12" s="2" t="s">
        <v>865</v>
      </c>
      <c r="J12" s="2" t="s">
        <v>866</v>
      </c>
    </row>
    <row r="13" spans="1:10">
      <c r="A13" s="2" t="s">
        <v>262</v>
      </c>
      <c r="B13" s="2" t="s">
        <v>77</v>
      </c>
      <c r="C13" s="2" t="s">
        <v>78</v>
      </c>
      <c r="D13" s="2" t="s">
        <v>79</v>
      </c>
      <c r="E13" s="2" t="s">
        <v>867</v>
      </c>
      <c r="F13" s="2" t="s">
        <v>81</v>
      </c>
      <c r="G13" s="2" t="s">
        <v>745</v>
      </c>
      <c r="H13" s="2" t="s">
        <v>864</v>
      </c>
      <c r="I13" s="2" t="s">
        <v>865</v>
      </c>
      <c r="J13" s="2" t="s">
        <v>868</v>
      </c>
    </row>
    <row r="14" spans="1:10">
      <c r="A14" s="2" t="s">
        <v>26</v>
      </c>
      <c r="B14" s="2" t="s">
        <v>77</v>
      </c>
      <c r="C14" s="2" t="s">
        <v>78</v>
      </c>
      <c r="D14" s="2" t="s">
        <v>79</v>
      </c>
      <c r="E14" s="2" t="s">
        <v>869</v>
      </c>
      <c r="F14" s="2" t="s">
        <v>81</v>
      </c>
      <c r="G14" s="2" t="s">
        <v>748</v>
      </c>
      <c r="H14" s="2" t="s">
        <v>864</v>
      </c>
      <c r="I14" s="2" t="s">
        <v>865</v>
      </c>
      <c r="J14" s="2" t="s">
        <v>868</v>
      </c>
    </row>
    <row r="15" spans="1:10" ht="126">
      <c r="A15" s="2" t="s">
        <v>96</v>
      </c>
      <c r="B15" s="2" t="s">
        <v>870</v>
      </c>
      <c r="C15" s="2" t="s">
        <v>871</v>
      </c>
      <c r="D15" s="2" t="s">
        <v>872</v>
      </c>
      <c r="E15" s="2" t="s">
        <v>873</v>
      </c>
      <c r="F15" s="2" t="s">
        <v>105</v>
      </c>
      <c r="G15" s="2" t="s">
        <v>674</v>
      </c>
      <c r="H15" s="2" t="s">
        <v>846</v>
      </c>
      <c r="I15" s="2" t="s">
        <v>874</v>
      </c>
      <c r="J15" s="2" t="s">
        <v>875</v>
      </c>
    </row>
    <row r="16" spans="1:10" ht="126">
      <c r="A16" s="2" t="s">
        <v>96</v>
      </c>
      <c r="B16" s="2" t="s">
        <v>876</v>
      </c>
      <c r="C16" s="2" t="s">
        <v>877</v>
      </c>
      <c r="D16" s="2" t="s">
        <v>878</v>
      </c>
      <c r="E16" s="2" t="s">
        <v>879</v>
      </c>
      <c r="F16" s="2" t="s">
        <v>105</v>
      </c>
      <c r="G16" s="2" t="s">
        <v>880</v>
      </c>
      <c r="H16" s="2" t="s">
        <v>846</v>
      </c>
      <c r="I16" s="2" t="s">
        <v>881</v>
      </c>
      <c r="J16" s="2" t="s">
        <v>882</v>
      </c>
    </row>
    <row r="17" spans="1:10" ht="98">
      <c r="A17" s="2" t="s">
        <v>96</v>
      </c>
      <c r="B17" s="2" t="s">
        <v>883</v>
      </c>
      <c r="C17" s="2" t="s">
        <v>884</v>
      </c>
      <c r="D17" s="2" t="s">
        <v>885</v>
      </c>
      <c r="E17" s="2" t="s">
        <v>886</v>
      </c>
      <c r="F17" s="2" t="s">
        <v>105</v>
      </c>
      <c r="G17" s="2" t="s">
        <v>887</v>
      </c>
      <c r="H17" s="2" t="s">
        <v>846</v>
      </c>
      <c r="I17" s="2" t="s">
        <v>888</v>
      </c>
      <c r="J17" s="2" t="s">
        <v>889</v>
      </c>
    </row>
    <row r="18" spans="1:10" ht="140">
      <c r="A18" s="2" t="s">
        <v>96</v>
      </c>
      <c r="B18" s="2" t="s">
        <v>890</v>
      </c>
      <c r="C18" s="2" t="s">
        <v>891</v>
      </c>
      <c r="D18" s="2" t="s">
        <v>892</v>
      </c>
      <c r="E18" s="2" t="s">
        <v>893</v>
      </c>
      <c r="F18" s="2" t="s">
        <v>105</v>
      </c>
      <c r="G18" s="2" t="s">
        <v>894</v>
      </c>
      <c r="H18" s="2" t="s">
        <v>846</v>
      </c>
      <c r="I18" s="2" t="s">
        <v>895</v>
      </c>
      <c r="J18" s="2" t="s">
        <v>896</v>
      </c>
    </row>
    <row r="19" spans="1:10" ht="28">
      <c r="A19" s="2" t="s">
        <v>76</v>
      </c>
      <c r="B19" s="2" t="s">
        <v>101</v>
      </c>
      <c r="C19" s="2" t="s">
        <v>653</v>
      </c>
      <c r="D19" s="2" t="s">
        <v>897</v>
      </c>
      <c r="E19" s="2" t="s">
        <v>898</v>
      </c>
      <c r="F19" s="2" t="s">
        <v>81</v>
      </c>
      <c r="G19" s="2" t="s">
        <v>527</v>
      </c>
      <c r="H19" s="2" t="s">
        <v>834</v>
      </c>
      <c r="I19" s="2" t="s">
        <v>835</v>
      </c>
      <c r="J19" s="2" t="s">
        <v>641</v>
      </c>
    </row>
    <row r="20" spans="1:10" ht="42">
      <c r="A20" s="2" t="s">
        <v>276</v>
      </c>
      <c r="B20" s="2" t="s">
        <v>101</v>
      </c>
      <c r="C20" s="2" t="s">
        <v>658</v>
      </c>
      <c r="D20" s="2" t="s">
        <v>899</v>
      </c>
      <c r="E20" s="2" t="s">
        <v>900</v>
      </c>
      <c r="F20" s="2" t="s">
        <v>32</v>
      </c>
      <c r="G20" s="2" t="s">
        <v>661</v>
      </c>
      <c r="H20" s="2" t="s">
        <v>834</v>
      </c>
      <c r="I20" s="2" t="s">
        <v>835</v>
      </c>
      <c r="J20" s="2" t="s">
        <v>901</v>
      </c>
    </row>
    <row r="21" spans="1:10" ht="28">
      <c r="A21" s="2" t="s">
        <v>59</v>
      </c>
      <c r="B21" s="2" t="s">
        <v>77</v>
      </c>
      <c r="C21" s="2" t="s">
        <v>78</v>
      </c>
      <c r="D21" s="2" t="s">
        <v>79</v>
      </c>
      <c r="E21" s="2" t="s">
        <v>902</v>
      </c>
      <c r="F21" s="2" t="s">
        <v>81</v>
      </c>
      <c r="G21" s="2" t="s">
        <v>757</v>
      </c>
      <c r="H21" s="2" t="s">
        <v>864</v>
      </c>
      <c r="I21" s="2" t="s">
        <v>865</v>
      </c>
      <c r="J21" s="2" t="s">
        <v>903</v>
      </c>
    </row>
    <row r="22" spans="1:10" ht="28">
      <c r="A22" s="2" t="s">
        <v>100</v>
      </c>
      <c r="B22" s="2" t="s">
        <v>77</v>
      </c>
      <c r="C22" s="2" t="s">
        <v>78</v>
      </c>
      <c r="D22" s="2" t="s">
        <v>79</v>
      </c>
      <c r="E22" s="2" t="s">
        <v>904</v>
      </c>
      <c r="F22" s="2" t="s">
        <v>81</v>
      </c>
      <c r="G22" s="2" t="s">
        <v>766</v>
      </c>
      <c r="H22" s="2" t="s">
        <v>864</v>
      </c>
      <c r="I22" s="2" t="s">
        <v>905</v>
      </c>
      <c r="J22" s="2" t="s">
        <v>906</v>
      </c>
    </row>
    <row r="23" spans="1:10" ht="28">
      <c r="A23" s="2" t="s">
        <v>96</v>
      </c>
      <c r="B23" s="2" t="s">
        <v>77</v>
      </c>
      <c r="C23" s="2" t="s">
        <v>78</v>
      </c>
      <c r="D23" s="2" t="s">
        <v>79</v>
      </c>
      <c r="E23" s="2" t="s">
        <v>907</v>
      </c>
      <c r="F23" s="2" t="s">
        <v>81</v>
      </c>
      <c r="G23" s="2" t="s">
        <v>770</v>
      </c>
      <c r="H23" s="2" t="s">
        <v>864</v>
      </c>
      <c r="I23" s="2" t="s">
        <v>865</v>
      </c>
      <c r="J23" s="2" t="s">
        <v>908</v>
      </c>
    </row>
    <row r="24" spans="1:10">
      <c r="A24" s="2" t="s">
        <v>276</v>
      </c>
      <c r="B24" s="2" t="s">
        <v>77</v>
      </c>
      <c r="C24" s="2" t="s">
        <v>78</v>
      </c>
      <c r="D24" s="2" t="s">
        <v>79</v>
      </c>
      <c r="E24" s="2" t="s">
        <v>909</v>
      </c>
      <c r="F24" s="2" t="s">
        <v>81</v>
      </c>
      <c r="G24" s="2" t="s">
        <v>761</v>
      </c>
      <c r="H24" s="2" t="s">
        <v>864</v>
      </c>
      <c r="I24" s="2" t="s">
        <v>865</v>
      </c>
      <c r="J24" s="2" t="s">
        <v>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0"/>
  <sheetViews>
    <sheetView workbookViewId="0">
      <pane ySplit="1" topLeftCell="A2" activePane="bottomLeft" state="frozen"/>
      <selection pane="bottomLeft"/>
    </sheetView>
  </sheetViews>
  <sheetFormatPr defaultRowHeight="14"/>
  <cols>
    <col min="1" max="2" width="16" customWidth="1"/>
    <col min="3" max="3" width="15" customWidth="1"/>
    <col min="4" max="5" width="14" customWidth="1"/>
    <col min="6" max="6" width="18" customWidth="1"/>
    <col min="7" max="7" width="20" customWidth="1"/>
    <col min="8" max="8" width="16" customWidth="1"/>
    <col min="9" max="9" width="17" customWidth="1"/>
    <col min="10" max="10" width="16" customWidth="1"/>
    <col min="11" max="11" width="18" customWidth="1"/>
    <col min="12" max="13" width="21" customWidth="1"/>
    <col min="14" max="14" width="16" customWidth="1"/>
    <col min="15" max="15" width="18" customWidth="1"/>
    <col min="16" max="16" width="20" customWidth="1"/>
    <col min="17" max="17" width="18" customWidth="1"/>
    <col min="18" max="18" width="31" customWidth="1"/>
    <col min="19" max="19" width="34" customWidth="1"/>
    <col min="20" max="20" width="18" customWidth="1"/>
    <col min="21" max="21" width="20" customWidth="1"/>
    <col min="22" max="22" width="18" customWidth="1"/>
    <col min="23" max="23" width="20" customWidth="1"/>
    <col min="24" max="24" width="16" customWidth="1"/>
    <col min="25" max="25" width="28" customWidth="1"/>
    <col min="26" max="26" width="48" customWidth="1"/>
    <col min="27" max="27" width="65" customWidth="1"/>
    <col min="28" max="28" width="32" customWidth="1"/>
  </cols>
  <sheetData>
    <row r="1" spans="1:28" ht="42">
      <c r="A1" s="9" t="s">
        <v>187</v>
      </c>
      <c r="B1" s="9" t="s">
        <v>443</v>
      </c>
      <c r="C1" s="9" t="s">
        <v>910</v>
      </c>
      <c r="D1" s="9" t="s">
        <v>911</v>
      </c>
      <c r="E1" s="9" t="s">
        <v>912</v>
      </c>
      <c r="F1" s="9" t="s">
        <v>913</v>
      </c>
      <c r="G1" s="9" t="s">
        <v>914</v>
      </c>
      <c r="H1" s="9" t="s">
        <v>708</v>
      </c>
      <c r="I1" s="9" t="s">
        <v>710</v>
      </c>
      <c r="J1" s="9" t="s">
        <v>711</v>
      </c>
      <c r="K1" s="9" t="s">
        <v>712</v>
      </c>
      <c r="L1" s="9" t="s">
        <v>713</v>
      </c>
      <c r="M1" s="9" t="s">
        <v>714</v>
      </c>
      <c r="N1" s="9" t="s">
        <v>715</v>
      </c>
      <c r="O1" s="9" t="s">
        <v>716</v>
      </c>
      <c r="P1" s="9" t="s">
        <v>717</v>
      </c>
      <c r="Q1" s="9" t="s">
        <v>719</v>
      </c>
      <c r="R1" s="9" t="s">
        <v>720</v>
      </c>
      <c r="S1" s="9" t="s">
        <v>721</v>
      </c>
      <c r="T1" s="9" t="s">
        <v>915</v>
      </c>
      <c r="U1" s="9" t="s">
        <v>916</v>
      </c>
      <c r="V1" s="9" t="s">
        <v>917</v>
      </c>
      <c r="W1" s="9" t="s">
        <v>918</v>
      </c>
      <c r="X1" s="9" t="s">
        <v>919</v>
      </c>
      <c r="Y1" s="9" t="s">
        <v>920</v>
      </c>
      <c r="Z1" s="9" t="s">
        <v>921</v>
      </c>
      <c r="AA1" s="9" t="s">
        <v>922</v>
      </c>
      <c r="AB1" s="9" t="s">
        <v>923</v>
      </c>
    </row>
    <row r="2" spans="1:28" ht="28">
      <c r="A2" s="2" t="s">
        <v>283</v>
      </c>
      <c r="B2" s="2" t="s">
        <v>205</v>
      </c>
      <c r="C2" s="2">
        <v>7</v>
      </c>
      <c r="D2" s="2">
        <v>3</v>
      </c>
      <c r="E2" s="2">
        <v>1</v>
      </c>
      <c r="F2" s="4">
        <v>1.7098372561557234</v>
      </c>
      <c r="G2" s="4">
        <v>28.571428571428573</v>
      </c>
      <c r="H2" s="2">
        <v>2023</v>
      </c>
      <c r="I2" s="5">
        <v>1225192</v>
      </c>
      <c r="J2" s="5">
        <v>5790</v>
      </c>
      <c r="K2" s="6">
        <v>33868</v>
      </c>
      <c r="L2" s="6">
        <v>1132649</v>
      </c>
      <c r="M2" s="6">
        <v>13.696999999999999</v>
      </c>
      <c r="N2" s="2">
        <v>1</v>
      </c>
      <c r="O2" s="2">
        <v>1</v>
      </c>
      <c r="P2" s="2">
        <v>1</v>
      </c>
      <c r="Q2" s="4">
        <v>76.3</v>
      </c>
      <c r="R2" s="2" t="s">
        <v>728</v>
      </c>
      <c r="S2" s="2" t="s">
        <v>729</v>
      </c>
      <c r="T2" s="2" t="s">
        <v>205</v>
      </c>
      <c r="U2" s="2" t="s">
        <v>205</v>
      </c>
      <c r="V2" s="2" t="s">
        <v>205</v>
      </c>
      <c r="W2" s="2" t="s">
        <v>205</v>
      </c>
      <c r="X2" s="2" t="s">
        <v>205</v>
      </c>
      <c r="Y2" s="2" t="s">
        <v>924</v>
      </c>
      <c r="Z2" s="2" t="s">
        <v>925</v>
      </c>
      <c r="AA2" s="2" t="s">
        <v>926</v>
      </c>
      <c r="AB2" s="2" t="s">
        <v>927</v>
      </c>
    </row>
    <row r="3" spans="1:28" ht="28">
      <c r="A3" s="2" t="s">
        <v>248</v>
      </c>
      <c r="B3" s="2" t="s">
        <v>205</v>
      </c>
      <c r="C3" s="2">
        <v>6</v>
      </c>
      <c r="D3" s="2">
        <v>4</v>
      </c>
      <c r="E3" s="2">
        <v>1</v>
      </c>
      <c r="F3" s="4">
        <v>1.7346925128560797</v>
      </c>
      <c r="G3" s="4">
        <v>0</v>
      </c>
      <c r="H3" s="2">
        <v>2023</v>
      </c>
      <c r="I3" s="5">
        <v>502185</v>
      </c>
      <c r="J3" s="5">
        <v>22389</v>
      </c>
      <c r="K3" s="6">
        <v>16619</v>
      </c>
      <c r="L3" s="6">
        <v>545162</v>
      </c>
      <c r="M3" s="6">
        <v>16.056999999999999</v>
      </c>
      <c r="N3" s="2">
        <v>2</v>
      </c>
      <c r="O3" s="2">
        <v>2</v>
      </c>
      <c r="P3" s="2">
        <v>2</v>
      </c>
      <c r="Q3" s="4">
        <v>65.849999999999994</v>
      </c>
      <c r="R3" s="2" t="s">
        <v>736</v>
      </c>
      <c r="S3" s="2" t="s">
        <v>729</v>
      </c>
      <c r="T3" s="2" t="s">
        <v>205</v>
      </c>
      <c r="U3" s="2" t="s">
        <v>205</v>
      </c>
      <c r="V3" s="2" t="s">
        <v>205</v>
      </c>
      <c r="W3" s="2" t="s">
        <v>205</v>
      </c>
      <c r="X3" s="2" t="s">
        <v>205</v>
      </c>
      <c r="Y3" s="2" t="s">
        <v>924</v>
      </c>
      <c r="Z3" s="2" t="s">
        <v>925</v>
      </c>
      <c r="AA3" s="2" t="s">
        <v>926</v>
      </c>
      <c r="AB3" s="2" t="s">
        <v>927</v>
      </c>
    </row>
    <row r="4" spans="1:28" ht="28">
      <c r="A4" s="2" t="s">
        <v>221</v>
      </c>
      <c r="B4" s="2" t="s">
        <v>205</v>
      </c>
      <c r="C4" s="2">
        <v>6</v>
      </c>
      <c r="D4" s="2">
        <v>6</v>
      </c>
      <c r="E4" s="2">
        <v>0</v>
      </c>
      <c r="F4" s="4">
        <v>5.2593558094406045</v>
      </c>
      <c r="G4" s="4">
        <v>50</v>
      </c>
      <c r="H4" s="2">
        <v>2023</v>
      </c>
      <c r="I4" s="5">
        <v>486494</v>
      </c>
      <c r="J4" s="5">
        <v>23412</v>
      </c>
      <c r="K4" s="6">
        <v>15694</v>
      </c>
      <c r="L4" s="6">
        <v>541057</v>
      </c>
      <c r="M4" s="6">
        <v>11.353999999999999</v>
      </c>
      <c r="N4" s="2">
        <v>4</v>
      </c>
      <c r="O4" s="2">
        <v>4</v>
      </c>
      <c r="P4" s="2">
        <v>4</v>
      </c>
      <c r="Q4" s="4">
        <v>82</v>
      </c>
      <c r="R4" s="2" t="s">
        <v>739</v>
      </c>
      <c r="S4" s="2" t="s">
        <v>729</v>
      </c>
      <c r="T4" s="2" t="s">
        <v>205</v>
      </c>
      <c r="U4" s="2" t="s">
        <v>205</v>
      </c>
      <c r="V4" s="2" t="s">
        <v>205</v>
      </c>
      <c r="W4" s="2" t="s">
        <v>205</v>
      </c>
      <c r="X4" s="2" t="s">
        <v>205</v>
      </c>
      <c r="Y4" s="2" t="s">
        <v>924</v>
      </c>
      <c r="Z4" s="2" t="s">
        <v>925</v>
      </c>
      <c r="AA4" s="2" t="s">
        <v>926</v>
      </c>
      <c r="AB4" s="2" t="s">
        <v>927</v>
      </c>
    </row>
    <row r="5" spans="1:28" ht="28">
      <c r="A5" s="2" t="s">
        <v>211</v>
      </c>
      <c r="B5" s="2" t="s">
        <v>205</v>
      </c>
      <c r="C5" s="2">
        <v>6</v>
      </c>
      <c r="D5" s="2">
        <v>5</v>
      </c>
      <c r="E5" s="2">
        <v>0</v>
      </c>
      <c r="F5" s="4">
        <v>1.2607804225227413</v>
      </c>
      <c r="G5" s="4">
        <v>0</v>
      </c>
      <c r="H5" s="2">
        <v>2023</v>
      </c>
      <c r="I5" s="5">
        <v>229046</v>
      </c>
      <c r="J5" s="5">
        <v>40043</v>
      </c>
      <c r="K5" s="6">
        <v>5838</v>
      </c>
      <c r="L5" s="6">
        <v>207273</v>
      </c>
      <c r="M5" s="6">
        <v>15.013999999999999</v>
      </c>
      <c r="N5" s="2">
        <v>1</v>
      </c>
      <c r="O5" s="2">
        <v>1</v>
      </c>
      <c r="P5" s="2">
        <v>1</v>
      </c>
      <c r="Q5" s="4">
        <v>71.5</v>
      </c>
      <c r="R5" s="2" t="s">
        <v>736</v>
      </c>
      <c r="S5" s="2" t="s">
        <v>729</v>
      </c>
      <c r="T5" s="2" t="s">
        <v>205</v>
      </c>
      <c r="U5" s="2" t="s">
        <v>205</v>
      </c>
      <c r="V5" s="2" t="s">
        <v>205</v>
      </c>
      <c r="W5" s="2" t="s">
        <v>205</v>
      </c>
      <c r="X5" s="2" t="s">
        <v>205</v>
      </c>
      <c r="Y5" s="2" t="s">
        <v>924</v>
      </c>
      <c r="Z5" s="2" t="s">
        <v>925</v>
      </c>
      <c r="AA5" s="2" t="s">
        <v>926</v>
      </c>
      <c r="AB5" s="2" t="s">
        <v>927</v>
      </c>
    </row>
    <row r="6" spans="1:28" ht="28">
      <c r="A6" s="2" t="s">
        <v>201</v>
      </c>
      <c r="B6" s="2" t="s">
        <v>205</v>
      </c>
      <c r="C6" s="2">
        <v>5</v>
      </c>
      <c r="D6" s="2">
        <v>4</v>
      </c>
      <c r="E6" s="2">
        <v>0</v>
      </c>
      <c r="F6" s="4">
        <v>2.2923017906265239</v>
      </c>
      <c r="G6" s="4">
        <v>0</v>
      </c>
      <c r="H6" s="2">
        <v>2023</v>
      </c>
      <c r="I6" s="5">
        <v>141722</v>
      </c>
      <c r="J6" s="5">
        <v>18358</v>
      </c>
      <c r="K6" s="6">
        <v>16922</v>
      </c>
      <c r="L6" s="6">
        <v>2008597</v>
      </c>
      <c r="M6" s="6">
        <v>18.382000000000001</v>
      </c>
      <c r="N6" s="2">
        <v>1</v>
      </c>
      <c r="O6" s="2">
        <v>1</v>
      </c>
      <c r="P6" s="2">
        <v>1</v>
      </c>
      <c r="Q6" s="4">
        <v>479.5</v>
      </c>
      <c r="R6" s="2" t="s">
        <v>739</v>
      </c>
      <c r="S6" s="2" t="s">
        <v>729</v>
      </c>
      <c r="T6" s="2" t="s">
        <v>205</v>
      </c>
      <c r="U6" s="2" t="s">
        <v>205</v>
      </c>
      <c r="V6" s="2" t="s">
        <v>205</v>
      </c>
      <c r="W6" s="2" t="s">
        <v>205</v>
      </c>
      <c r="X6" s="2" t="s">
        <v>205</v>
      </c>
      <c r="Y6" s="2" t="s">
        <v>924</v>
      </c>
      <c r="Z6" s="2" t="s">
        <v>925</v>
      </c>
      <c r="AA6" s="2" t="s">
        <v>926</v>
      </c>
      <c r="AB6" s="2" t="s">
        <v>927</v>
      </c>
    </row>
    <row r="7" spans="1:28" ht="28">
      <c r="A7" s="2" t="s">
        <v>262</v>
      </c>
      <c r="B7" s="2" t="s">
        <v>205</v>
      </c>
      <c r="C7" s="2">
        <v>4</v>
      </c>
      <c r="D7" s="2">
        <v>3</v>
      </c>
      <c r="E7" s="2">
        <v>0</v>
      </c>
      <c r="F7" s="4">
        <v>8.767002324038037</v>
      </c>
      <c r="G7" s="4">
        <v>100</v>
      </c>
      <c r="H7" s="2">
        <v>2023</v>
      </c>
      <c r="I7" s="5">
        <v>731898</v>
      </c>
      <c r="J7" s="5">
        <v>13877</v>
      </c>
      <c r="K7" s="6">
        <v>14394</v>
      </c>
      <c r="L7" s="6">
        <v>190993</v>
      </c>
      <c r="M7" s="6">
        <v>10.709</v>
      </c>
      <c r="N7" s="2">
        <v>4</v>
      </c>
      <c r="O7" s="2">
        <v>3</v>
      </c>
      <c r="P7" s="2">
        <v>4</v>
      </c>
      <c r="Q7" s="4">
        <v>46.95</v>
      </c>
      <c r="R7" s="2" t="s">
        <v>736</v>
      </c>
      <c r="S7" s="2" t="s">
        <v>729</v>
      </c>
      <c r="T7" s="2" t="s">
        <v>205</v>
      </c>
      <c r="U7" s="2" t="s">
        <v>205</v>
      </c>
      <c r="V7" s="2" t="s">
        <v>205</v>
      </c>
      <c r="W7" s="2" t="s">
        <v>205</v>
      </c>
      <c r="X7" s="2" t="s">
        <v>205</v>
      </c>
      <c r="Y7" s="2" t="s">
        <v>924</v>
      </c>
      <c r="Z7" s="2" t="s">
        <v>925</v>
      </c>
      <c r="AA7" s="2" t="s">
        <v>926</v>
      </c>
      <c r="AB7" s="2" t="s">
        <v>927</v>
      </c>
    </row>
    <row r="8" spans="1:28" ht="28">
      <c r="A8" s="2" t="s">
        <v>10</v>
      </c>
      <c r="B8" s="2" t="s">
        <v>205</v>
      </c>
      <c r="C8" s="2">
        <v>4</v>
      </c>
      <c r="D8" s="2">
        <v>3</v>
      </c>
      <c r="E8" s="2">
        <v>0</v>
      </c>
      <c r="F8" s="4">
        <v>4.6598192585509208</v>
      </c>
      <c r="G8" s="4">
        <v>50</v>
      </c>
      <c r="H8" s="2">
        <v>2023</v>
      </c>
      <c r="I8" s="5">
        <v>356180</v>
      </c>
      <c r="J8" s="5">
        <v>9980</v>
      </c>
      <c r="K8" s="6">
        <v>10092</v>
      </c>
      <c r="L8" s="6">
        <v>619079</v>
      </c>
      <c r="M8" s="6">
        <v>16.699000000000002</v>
      </c>
      <c r="N8" s="2">
        <v>3</v>
      </c>
      <c r="O8" s="2">
        <v>2</v>
      </c>
      <c r="P8" s="2">
        <v>3</v>
      </c>
      <c r="Q8" s="4">
        <v>60.5</v>
      </c>
      <c r="R8" s="2" t="s">
        <v>736</v>
      </c>
      <c r="S8" s="2" t="s">
        <v>729</v>
      </c>
      <c r="T8" s="2" t="s">
        <v>205</v>
      </c>
      <c r="U8" s="2" t="s">
        <v>205</v>
      </c>
      <c r="V8" s="2" t="s">
        <v>205</v>
      </c>
      <c r="W8" s="2" t="s">
        <v>205</v>
      </c>
      <c r="X8" s="2" t="s">
        <v>205</v>
      </c>
      <c r="Y8" s="2" t="s">
        <v>924</v>
      </c>
      <c r="Z8" s="2" t="s">
        <v>925</v>
      </c>
      <c r="AA8" s="2" t="s">
        <v>926</v>
      </c>
      <c r="AB8" s="2" t="s">
        <v>927</v>
      </c>
    </row>
    <row r="9" spans="1:28" ht="28">
      <c r="A9" s="2" t="s">
        <v>26</v>
      </c>
      <c r="B9" s="2" t="s">
        <v>205</v>
      </c>
      <c r="C9" s="2">
        <v>3</v>
      </c>
      <c r="D9" s="2">
        <v>3</v>
      </c>
      <c r="E9" s="2">
        <v>0</v>
      </c>
      <c r="F9" s="4">
        <v>7.2778954790688806</v>
      </c>
      <c r="G9" s="4">
        <v>100</v>
      </c>
      <c r="H9" s="2">
        <v>2023</v>
      </c>
      <c r="I9" s="5">
        <v>797906</v>
      </c>
      <c r="J9" s="5">
        <v>15338</v>
      </c>
      <c r="K9" s="6">
        <v>15418</v>
      </c>
      <c r="L9" s="6">
        <v>291340</v>
      </c>
      <c r="M9" s="6">
        <v>10.151999999999999</v>
      </c>
      <c r="N9" s="2">
        <v>4</v>
      </c>
      <c r="O9" s="2">
        <v>4</v>
      </c>
      <c r="P9" s="2">
        <v>4</v>
      </c>
      <c r="Q9" s="4">
        <v>56.1</v>
      </c>
      <c r="R9" s="2" t="s">
        <v>736</v>
      </c>
      <c r="S9" s="2" t="s">
        <v>729</v>
      </c>
      <c r="T9" s="2" t="s">
        <v>205</v>
      </c>
      <c r="U9" s="2" t="s">
        <v>205</v>
      </c>
      <c r="V9" s="2" t="s">
        <v>205</v>
      </c>
      <c r="W9" s="2" t="s">
        <v>205</v>
      </c>
      <c r="X9" s="2" t="s">
        <v>205</v>
      </c>
      <c r="Y9" s="2" t="s">
        <v>924</v>
      </c>
      <c r="Z9" s="2" t="s">
        <v>925</v>
      </c>
      <c r="AA9" s="2" t="s">
        <v>926</v>
      </c>
      <c r="AB9" s="2" t="s">
        <v>927</v>
      </c>
    </row>
    <row r="10" spans="1:28" ht="28">
      <c r="A10" s="2" t="s">
        <v>258</v>
      </c>
      <c r="B10" s="2" t="s">
        <v>205</v>
      </c>
      <c r="C10" s="2">
        <v>3</v>
      </c>
      <c r="D10" s="2">
        <v>3</v>
      </c>
      <c r="E10" s="2">
        <v>0</v>
      </c>
      <c r="F10" s="4">
        <v>3.8923992420269755</v>
      </c>
      <c r="G10" s="4">
        <v>0</v>
      </c>
      <c r="H10" s="2">
        <v>2023</v>
      </c>
      <c r="I10" s="5">
        <v>683654</v>
      </c>
      <c r="J10" s="5">
        <v>34650</v>
      </c>
      <c r="K10" s="6">
        <v>17012</v>
      </c>
      <c r="L10" s="6">
        <v>259860</v>
      </c>
      <c r="M10" s="6">
        <v>10.848000000000001</v>
      </c>
      <c r="N10" s="2">
        <v>3</v>
      </c>
      <c r="O10" s="2">
        <v>2</v>
      </c>
      <c r="P10" s="2">
        <v>3</v>
      </c>
      <c r="Q10" s="4">
        <v>56.95</v>
      </c>
      <c r="R10" s="2" t="s">
        <v>736</v>
      </c>
      <c r="S10" s="2" t="s">
        <v>729</v>
      </c>
      <c r="T10" s="2" t="s">
        <v>205</v>
      </c>
      <c r="U10" s="2" t="s">
        <v>205</v>
      </c>
      <c r="V10" s="2" t="s">
        <v>205</v>
      </c>
      <c r="W10" s="2" t="s">
        <v>205</v>
      </c>
      <c r="X10" s="2" t="s">
        <v>205</v>
      </c>
      <c r="Y10" s="2" t="s">
        <v>924</v>
      </c>
      <c r="Z10" s="2" t="s">
        <v>925</v>
      </c>
      <c r="AA10" s="2" t="s">
        <v>926</v>
      </c>
      <c r="AB10" s="2" t="s">
        <v>927</v>
      </c>
    </row>
    <row r="11" spans="1:28" ht="28">
      <c r="A11" s="2" t="s">
        <v>243</v>
      </c>
      <c r="B11" s="2" t="s">
        <v>205</v>
      </c>
      <c r="C11" s="2">
        <v>3</v>
      </c>
      <c r="D11" s="2">
        <v>2</v>
      </c>
      <c r="E11" s="2">
        <v>0</v>
      </c>
      <c r="F11" s="4">
        <v>2.0183122706965517</v>
      </c>
      <c r="G11" s="4">
        <v>0</v>
      </c>
      <c r="H11" s="2">
        <v>2023</v>
      </c>
      <c r="I11" s="5">
        <v>189931</v>
      </c>
      <c r="J11" s="5">
        <v>38604</v>
      </c>
      <c r="K11" s="6">
        <v>9465</v>
      </c>
      <c r="L11" s="6">
        <v>518188</v>
      </c>
      <c r="M11" s="6">
        <v>15.95</v>
      </c>
      <c r="N11" s="2">
        <v>1</v>
      </c>
      <c r="O11" s="2">
        <v>1</v>
      </c>
      <c r="P11" s="2">
        <v>1</v>
      </c>
      <c r="Q11" s="4">
        <v>105.95</v>
      </c>
      <c r="R11" s="2" t="s">
        <v>739</v>
      </c>
      <c r="S11" s="2" t="s">
        <v>729</v>
      </c>
      <c r="T11" s="2" t="s">
        <v>205</v>
      </c>
      <c r="U11" s="2" t="s">
        <v>205</v>
      </c>
      <c r="V11" s="2" t="s">
        <v>205</v>
      </c>
      <c r="W11" s="2" t="s">
        <v>205</v>
      </c>
      <c r="X11" s="2" t="s">
        <v>205</v>
      </c>
      <c r="Y11" s="2" t="s">
        <v>924</v>
      </c>
      <c r="Z11" s="2" t="s">
        <v>925</v>
      </c>
      <c r="AA11" s="2" t="s">
        <v>926</v>
      </c>
      <c r="AB11" s="2" t="s">
        <v>927</v>
      </c>
    </row>
    <row r="12" spans="1:28" ht="28">
      <c r="A12" s="2" t="s">
        <v>44</v>
      </c>
      <c r="B12" s="2" t="s">
        <v>205</v>
      </c>
      <c r="C12" s="2">
        <v>3</v>
      </c>
      <c r="D12" s="2">
        <v>3</v>
      </c>
      <c r="E12" s="2">
        <v>0</v>
      </c>
      <c r="F12" s="4">
        <v>3.6417244666910662</v>
      </c>
      <c r="G12" s="4">
        <v>0</v>
      </c>
      <c r="H12" s="2">
        <v>2023</v>
      </c>
      <c r="I12" s="5">
        <v>473280</v>
      </c>
      <c r="J12" s="5">
        <v>29636</v>
      </c>
      <c r="K12" s="6">
        <v>13935</v>
      </c>
      <c r="L12" s="6">
        <v>281002</v>
      </c>
      <c r="M12" s="6">
        <v>11.131</v>
      </c>
      <c r="N12" s="2">
        <v>2</v>
      </c>
      <c r="O12" s="2">
        <v>2</v>
      </c>
      <c r="P12" s="2">
        <v>2</v>
      </c>
      <c r="Q12" s="4">
        <v>49.5</v>
      </c>
      <c r="R12" s="2" t="s">
        <v>736</v>
      </c>
      <c r="S12" s="2" t="s">
        <v>729</v>
      </c>
      <c r="T12" s="2" t="s">
        <v>205</v>
      </c>
      <c r="U12" s="2" t="s">
        <v>205</v>
      </c>
      <c r="V12" s="2" t="s">
        <v>205</v>
      </c>
      <c r="W12" s="2" t="s">
        <v>205</v>
      </c>
      <c r="X12" s="2" t="s">
        <v>205</v>
      </c>
      <c r="Y12" s="2" t="s">
        <v>924</v>
      </c>
      <c r="Z12" s="2" t="s">
        <v>925</v>
      </c>
      <c r="AA12" s="2" t="s">
        <v>926</v>
      </c>
      <c r="AB12" s="2" t="s">
        <v>927</v>
      </c>
    </row>
    <row r="13" spans="1:28" ht="56">
      <c r="A13" s="2" t="s">
        <v>59</v>
      </c>
      <c r="B13" s="2" t="s">
        <v>205</v>
      </c>
      <c r="C13" s="2">
        <v>2</v>
      </c>
      <c r="D13" s="2">
        <v>2</v>
      </c>
      <c r="E13" s="2">
        <v>0</v>
      </c>
      <c r="F13" s="4">
        <v>5.6400504098634157</v>
      </c>
      <c r="G13" s="4">
        <v>100</v>
      </c>
      <c r="H13" s="2">
        <v>2023</v>
      </c>
      <c r="I13" s="5">
        <v>514843</v>
      </c>
      <c r="J13" s="5">
        <v>8433</v>
      </c>
      <c r="K13" s="6">
        <v>6841</v>
      </c>
      <c r="L13" s="6">
        <v>391437</v>
      </c>
      <c r="M13" s="6">
        <v>11.603</v>
      </c>
      <c r="N13" s="2">
        <v>2</v>
      </c>
      <c r="O13" s="2">
        <v>2</v>
      </c>
      <c r="P13" s="2">
        <v>2</v>
      </c>
      <c r="Q13" s="4">
        <v>47.35</v>
      </c>
      <c r="R13" s="2" t="s">
        <v>736</v>
      </c>
      <c r="S13" s="2" t="s">
        <v>928</v>
      </c>
      <c r="T13" s="2" t="s">
        <v>205</v>
      </c>
      <c r="U13" s="2" t="s">
        <v>205</v>
      </c>
      <c r="V13" s="2" t="s">
        <v>205</v>
      </c>
      <c r="W13" s="2" t="s">
        <v>929</v>
      </c>
      <c r="X13" s="2" t="s">
        <v>205</v>
      </c>
      <c r="Y13" s="2" t="s">
        <v>930</v>
      </c>
      <c r="Z13" s="2" t="s">
        <v>931</v>
      </c>
      <c r="AA13" s="2" t="s">
        <v>926</v>
      </c>
      <c r="AB13" s="2" t="s">
        <v>927</v>
      </c>
    </row>
    <row r="14" spans="1:28" ht="28">
      <c r="A14" s="2" t="s">
        <v>272</v>
      </c>
      <c r="B14" s="2" t="s">
        <v>205</v>
      </c>
      <c r="C14" s="2">
        <v>2</v>
      </c>
      <c r="D14" s="2">
        <v>2</v>
      </c>
      <c r="E14" s="2">
        <v>0</v>
      </c>
      <c r="F14" s="4">
        <v>2.5263204312502059</v>
      </c>
      <c r="G14" s="4">
        <v>0</v>
      </c>
      <c r="H14" s="2">
        <v>2023</v>
      </c>
      <c r="I14" s="5">
        <v>176501</v>
      </c>
      <c r="J14" s="5">
        <v>42225</v>
      </c>
      <c r="K14" s="6">
        <v>2986</v>
      </c>
      <c r="L14" s="6">
        <v>159729</v>
      </c>
      <c r="M14" s="6">
        <v>13.026</v>
      </c>
      <c r="N14" s="2">
        <v>1</v>
      </c>
      <c r="O14" s="2">
        <v>1</v>
      </c>
      <c r="P14" s="2">
        <v>1</v>
      </c>
      <c r="Q14" s="4">
        <v>64</v>
      </c>
      <c r="R14" s="2" t="s">
        <v>736</v>
      </c>
      <c r="S14" s="2" t="s">
        <v>729</v>
      </c>
      <c r="T14" s="2" t="s">
        <v>205</v>
      </c>
      <c r="U14" s="2" t="s">
        <v>205</v>
      </c>
      <c r="V14" s="2" t="s">
        <v>205</v>
      </c>
      <c r="W14" s="2" t="s">
        <v>205</v>
      </c>
      <c r="X14" s="2" t="s">
        <v>205</v>
      </c>
      <c r="Y14" s="2" t="s">
        <v>924</v>
      </c>
      <c r="Z14" s="2" t="s">
        <v>925</v>
      </c>
      <c r="AA14" s="2" t="s">
        <v>926</v>
      </c>
      <c r="AB14" s="2" t="s">
        <v>927</v>
      </c>
    </row>
    <row r="15" spans="1:28" ht="28">
      <c r="A15" s="2" t="s">
        <v>276</v>
      </c>
      <c r="B15" s="2" t="s">
        <v>205</v>
      </c>
      <c r="C15" s="2">
        <v>2</v>
      </c>
      <c r="D15" s="2">
        <v>2</v>
      </c>
      <c r="E15" s="2">
        <v>0</v>
      </c>
      <c r="F15" s="4">
        <v>5.557992284915283</v>
      </c>
      <c r="G15" s="4">
        <v>100</v>
      </c>
      <c r="H15" s="2">
        <v>2023</v>
      </c>
      <c r="I15" s="5">
        <v>238436</v>
      </c>
      <c r="J15" s="5">
        <v>33394</v>
      </c>
      <c r="K15" s="6">
        <v>3499</v>
      </c>
      <c r="L15" s="6">
        <v>74380</v>
      </c>
      <c r="M15" s="6">
        <v>11.577</v>
      </c>
      <c r="N15" s="2">
        <v>2</v>
      </c>
      <c r="O15" s="2">
        <v>2</v>
      </c>
      <c r="P15" s="2">
        <v>2</v>
      </c>
      <c r="Q15" s="4">
        <v>55.75</v>
      </c>
      <c r="R15" s="2" t="s">
        <v>736</v>
      </c>
      <c r="S15" s="2" t="s">
        <v>729</v>
      </c>
      <c r="T15" s="2" t="s">
        <v>205</v>
      </c>
      <c r="U15" s="2" t="s">
        <v>205</v>
      </c>
      <c r="V15" s="2" t="s">
        <v>205</v>
      </c>
      <c r="W15" s="2" t="s">
        <v>205</v>
      </c>
      <c r="X15" s="2" t="s">
        <v>205</v>
      </c>
      <c r="Y15" s="2" t="s">
        <v>924</v>
      </c>
      <c r="Z15" s="2" t="s">
        <v>932</v>
      </c>
      <c r="AA15" s="2" t="s">
        <v>926</v>
      </c>
      <c r="AB15" s="2" t="s">
        <v>927</v>
      </c>
    </row>
    <row r="16" spans="1:28" ht="42">
      <c r="A16" s="2" t="s">
        <v>100</v>
      </c>
      <c r="B16" s="2" t="s">
        <v>205</v>
      </c>
      <c r="C16" s="2">
        <v>2</v>
      </c>
      <c r="D16" s="2">
        <v>2</v>
      </c>
      <c r="E16" s="2">
        <v>0</v>
      </c>
      <c r="F16" s="4">
        <v>18.519994909744504</v>
      </c>
      <c r="G16" s="4">
        <v>100</v>
      </c>
      <c r="H16" s="2">
        <v>2023</v>
      </c>
      <c r="I16" s="5">
        <v>357792</v>
      </c>
      <c r="J16" s="5">
        <v>2855</v>
      </c>
      <c r="K16" s="6">
        <v>8114</v>
      </c>
      <c r="L16" s="6">
        <v>340570</v>
      </c>
      <c r="M16" s="6">
        <v>12.525</v>
      </c>
      <c r="N16" s="2">
        <v>1</v>
      </c>
      <c r="O16" s="2">
        <v>1</v>
      </c>
      <c r="P16" s="2">
        <v>1</v>
      </c>
      <c r="Q16" s="4">
        <v>45.2</v>
      </c>
      <c r="R16" s="2" t="s">
        <v>763</v>
      </c>
      <c r="S16" s="2" t="s">
        <v>928</v>
      </c>
      <c r="T16" s="2" t="s">
        <v>205</v>
      </c>
      <c r="U16" s="2" t="s">
        <v>205</v>
      </c>
      <c r="V16" s="2" t="s">
        <v>205</v>
      </c>
      <c r="W16" s="2" t="s">
        <v>929</v>
      </c>
      <c r="X16" s="2" t="s">
        <v>205</v>
      </c>
      <c r="Y16" s="2" t="s">
        <v>930</v>
      </c>
      <c r="Z16" s="2" t="s">
        <v>933</v>
      </c>
      <c r="AA16" s="2" t="s">
        <v>926</v>
      </c>
      <c r="AB16" s="2" t="s">
        <v>927</v>
      </c>
    </row>
    <row r="17" spans="1:28" ht="28">
      <c r="A17" s="2" t="s">
        <v>96</v>
      </c>
      <c r="B17" s="2" t="s">
        <v>205</v>
      </c>
      <c r="C17" s="2">
        <v>2</v>
      </c>
      <c r="D17" s="2">
        <v>2</v>
      </c>
      <c r="E17" s="2">
        <v>0</v>
      </c>
      <c r="F17" s="4">
        <v>63.055745473382686</v>
      </c>
      <c r="G17" s="4">
        <v>100</v>
      </c>
      <c r="H17" s="2">
        <v>2024</v>
      </c>
      <c r="I17" s="5">
        <v>365500</v>
      </c>
      <c r="J17" s="5"/>
      <c r="K17" s="6"/>
      <c r="L17" s="6"/>
      <c r="M17" s="6"/>
      <c r="N17" s="2">
        <v>1</v>
      </c>
      <c r="O17" s="2">
        <v>1</v>
      </c>
      <c r="P17" s="2">
        <v>1</v>
      </c>
      <c r="Q17" s="4">
        <v>60.9</v>
      </c>
      <c r="R17" s="2" t="s">
        <v>736</v>
      </c>
      <c r="S17" s="2" t="s">
        <v>764</v>
      </c>
      <c r="T17" s="2" t="s">
        <v>205</v>
      </c>
      <c r="U17" s="2" t="s">
        <v>205</v>
      </c>
      <c r="V17" s="2" t="s">
        <v>205</v>
      </c>
      <c r="W17" s="2" t="s">
        <v>934</v>
      </c>
      <c r="X17" s="2" t="s">
        <v>205</v>
      </c>
      <c r="Y17" s="2" t="s">
        <v>934</v>
      </c>
      <c r="Z17" s="2" t="s">
        <v>935</v>
      </c>
      <c r="AA17" s="2" t="s">
        <v>926</v>
      </c>
      <c r="AB17" s="2" t="s">
        <v>927</v>
      </c>
    </row>
    <row r="18" spans="1:28" ht="42">
      <c r="A18" s="2" t="s">
        <v>86</v>
      </c>
      <c r="B18" s="2" t="s">
        <v>205</v>
      </c>
      <c r="C18" s="2">
        <v>1</v>
      </c>
      <c r="D18" s="2">
        <v>1</v>
      </c>
      <c r="E18" s="2">
        <v>0</v>
      </c>
      <c r="F18" s="4">
        <v>59.343153731273112</v>
      </c>
      <c r="G18" s="4">
        <v>100</v>
      </c>
      <c r="H18" s="2">
        <v>2023</v>
      </c>
      <c r="I18" s="5">
        <v>108701</v>
      </c>
      <c r="J18" s="5"/>
      <c r="K18" s="6"/>
      <c r="L18" s="6"/>
      <c r="M18" s="6"/>
      <c r="N18" s="2">
        <v>1</v>
      </c>
      <c r="O18" s="2">
        <v>1</v>
      </c>
      <c r="P18" s="2">
        <v>1</v>
      </c>
      <c r="Q18" s="4"/>
      <c r="R18" s="2" t="s">
        <v>771</v>
      </c>
      <c r="S18" s="2" t="s">
        <v>936</v>
      </c>
      <c r="T18" s="2" t="s">
        <v>205</v>
      </c>
      <c r="U18" s="2" t="s">
        <v>205</v>
      </c>
      <c r="V18" s="2" t="s">
        <v>205</v>
      </c>
      <c r="W18" s="2" t="s">
        <v>934</v>
      </c>
      <c r="X18" s="2" t="s">
        <v>213</v>
      </c>
      <c r="Y18" s="2" t="s">
        <v>934</v>
      </c>
      <c r="Z18" s="2" t="s">
        <v>937</v>
      </c>
      <c r="AA18" s="2" t="s">
        <v>926</v>
      </c>
      <c r="AB18" s="2" t="s">
        <v>927</v>
      </c>
    </row>
    <row r="19" spans="1:28" ht="28">
      <c r="A19" s="2" t="s">
        <v>76</v>
      </c>
      <c r="B19" s="2" t="s">
        <v>205</v>
      </c>
      <c r="C19" s="2">
        <v>1</v>
      </c>
      <c r="D19" s="2">
        <v>1</v>
      </c>
      <c r="E19" s="2">
        <v>0</v>
      </c>
      <c r="F19" s="4">
        <v>1.2161608639423074</v>
      </c>
      <c r="G19" s="4">
        <v>0</v>
      </c>
      <c r="H19" s="2">
        <v>2023</v>
      </c>
      <c r="I19" s="5">
        <v>166100</v>
      </c>
      <c r="J19" s="5">
        <v>34177</v>
      </c>
      <c r="K19" s="6">
        <v>6541</v>
      </c>
      <c r="L19" s="6">
        <v>288516</v>
      </c>
      <c r="M19" s="6">
        <v>14.092000000000001</v>
      </c>
      <c r="N19" s="2">
        <v>1</v>
      </c>
      <c r="O19" s="2">
        <v>1</v>
      </c>
      <c r="P19" s="2">
        <v>1</v>
      </c>
      <c r="Q19" s="4">
        <v>90.1</v>
      </c>
      <c r="R19" s="2" t="s">
        <v>736</v>
      </c>
      <c r="S19" s="2" t="s">
        <v>729</v>
      </c>
      <c r="T19" s="2" t="s">
        <v>205</v>
      </c>
      <c r="U19" s="2" t="s">
        <v>205</v>
      </c>
      <c r="V19" s="2" t="s">
        <v>205</v>
      </c>
      <c r="W19" s="2" t="s">
        <v>205</v>
      </c>
      <c r="X19" s="2" t="s">
        <v>205</v>
      </c>
      <c r="Y19" s="2" t="s">
        <v>924</v>
      </c>
      <c r="Z19" s="2" t="s">
        <v>932</v>
      </c>
      <c r="AA19" s="2" t="s">
        <v>926</v>
      </c>
      <c r="AB19" s="2" t="s">
        <v>927</v>
      </c>
    </row>
    <row r="20" spans="1:28" ht="28">
      <c r="A20" s="2" t="s">
        <v>344</v>
      </c>
      <c r="B20" s="2" t="s">
        <v>205</v>
      </c>
      <c r="C20" s="2">
        <v>0</v>
      </c>
      <c r="D20" s="2">
        <v>0</v>
      </c>
      <c r="E20" s="2">
        <v>1</v>
      </c>
      <c r="F20" s="4"/>
      <c r="G20" s="4"/>
      <c r="H20" s="2">
        <v>2023</v>
      </c>
      <c r="I20" s="5">
        <v>146461</v>
      </c>
      <c r="J20" s="5">
        <v>34300</v>
      </c>
      <c r="K20" s="6">
        <v>3065</v>
      </c>
      <c r="L20" s="6">
        <v>181403</v>
      </c>
      <c r="M20" s="6">
        <v>12.032</v>
      </c>
      <c r="N20" s="2">
        <v>1</v>
      </c>
      <c r="O20" s="2">
        <v>1</v>
      </c>
      <c r="P20" s="2">
        <v>1</v>
      </c>
      <c r="Q20" s="4">
        <v>110.6</v>
      </c>
      <c r="R20" s="2" t="s">
        <v>776</v>
      </c>
      <c r="S20" s="2" t="s">
        <v>729</v>
      </c>
      <c r="T20" s="2" t="s">
        <v>205</v>
      </c>
      <c r="U20" s="2" t="s">
        <v>938</v>
      </c>
      <c r="V20" s="2" t="s">
        <v>205</v>
      </c>
      <c r="W20" s="2" t="s">
        <v>205</v>
      </c>
      <c r="X20" s="2" t="s">
        <v>205</v>
      </c>
      <c r="Y20" s="2" t="s">
        <v>924</v>
      </c>
      <c r="Z20" s="2" t="s">
        <v>925</v>
      </c>
      <c r="AA20" s="2" t="s">
        <v>926</v>
      </c>
      <c r="AB20" s="2" t="s">
        <v>927</v>
      </c>
    </row>
  </sheetData>
  <conditionalFormatting sqref="S2:S20">
    <cfRule type="expression" dxfId="1" priority="2">
      <formula>ISNUMBER(SEARCH("SECONDARY",S2))</formula>
    </cfRule>
  </conditionalFormatting>
  <conditionalFormatting sqref="Y2:Y20">
    <cfRule type="expression" dxfId="0" priority="1">
      <formula>Y2="READY_FOR_COMPARATIVE_SCREENING"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0" customWidth="1"/>
    <col min="2" max="2" width="30" customWidth="1"/>
    <col min="3" max="3" width="44" customWidth="1"/>
    <col min="4" max="4" width="48" customWidth="1"/>
    <col min="5" max="5" width="55" customWidth="1"/>
    <col min="6" max="6" width="22" customWidth="1"/>
  </cols>
  <sheetData>
    <row r="1" spans="1:6">
      <c r="A1" s="7" t="s">
        <v>939</v>
      </c>
      <c r="B1" s="7" t="s">
        <v>940</v>
      </c>
      <c r="C1" s="7" t="s">
        <v>941</v>
      </c>
      <c r="D1" s="7" t="s">
        <v>942</v>
      </c>
      <c r="E1" s="7" t="s">
        <v>943</v>
      </c>
      <c r="F1" s="7" t="s">
        <v>944</v>
      </c>
    </row>
    <row r="2" spans="1:6" ht="42">
      <c r="A2" s="2">
        <v>1</v>
      </c>
      <c r="B2" s="2" t="s">
        <v>945</v>
      </c>
      <c r="C2" s="2" t="s">
        <v>946</v>
      </c>
      <c r="D2" s="2" t="s">
        <v>947</v>
      </c>
      <c r="E2" s="2" t="s">
        <v>948</v>
      </c>
      <c r="F2" s="2" t="s">
        <v>949</v>
      </c>
    </row>
    <row r="3" spans="1:6">
      <c r="A3" s="2">
        <v>1</v>
      </c>
      <c r="B3" s="2" t="s">
        <v>86</v>
      </c>
      <c r="C3" s="2" t="s">
        <v>950</v>
      </c>
      <c r="D3" s="2" t="s">
        <v>951</v>
      </c>
      <c r="E3" s="2" t="s">
        <v>952</v>
      </c>
      <c r="F3" s="2" t="s">
        <v>953</v>
      </c>
    </row>
    <row r="4" spans="1:6" ht="28">
      <c r="A4" s="2">
        <v>1</v>
      </c>
      <c r="B4" s="2" t="s">
        <v>954</v>
      </c>
      <c r="C4" s="2" t="s">
        <v>955</v>
      </c>
      <c r="D4" s="2" t="s">
        <v>956</v>
      </c>
      <c r="E4" s="2" t="s">
        <v>957</v>
      </c>
      <c r="F4" s="2" t="s">
        <v>949</v>
      </c>
    </row>
    <row r="5" spans="1:6" ht="28">
      <c r="A5" s="2">
        <v>2</v>
      </c>
      <c r="B5" s="2" t="s">
        <v>100</v>
      </c>
      <c r="C5" s="2" t="s">
        <v>958</v>
      </c>
      <c r="D5" s="2" t="s">
        <v>959</v>
      </c>
      <c r="E5" s="2" t="s">
        <v>960</v>
      </c>
      <c r="F5" s="2" t="s">
        <v>961</v>
      </c>
    </row>
    <row r="6" spans="1:6" ht="28">
      <c r="A6" s="2">
        <v>2</v>
      </c>
      <c r="B6" s="2" t="s">
        <v>962</v>
      </c>
      <c r="C6" s="2" t="s">
        <v>963</v>
      </c>
      <c r="D6" s="2" t="s">
        <v>964</v>
      </c>
      <c r="E6" s="2" t="s">
        <v>965</v>
      </c>
      <c r="F6" s="2" t="s">
        <v>966</v>
      </c>
    </row>
    <row r="7" spans="1:6">
      <c r="A7" s="2">
        <v>3</v>
      </c>
      <c r="B7" s="2" t="s">
        <v>967</v>
      </c>
      <c r="C7" s="2" t="s">
        <v>968</v>
      </c>
      <c r="D7" s="2" t="s">
        <v>969</v>
      </c>
      <c r="E7" s="2" t="s">
        <v>970</v>
      </c>
      <c r="F7" s="2" t="s">
        <v>971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0"/>
  <sheetViews>
    <sheetView workbookViewId="0">
      <pane ySplit="1" topLeftCell="A2" activePane="bottomLeft" state="frozen"/>
      <selection pane="bottomLeft"/>
    </sheetView>
  </sheetViews>
  <sheetFormatPr defaultRowHeight="14"/>
  <cols>
    <col min="1" max="2" width="16" customWidth="1"/>
    <col min="3" max="3" width="15" customWidth="1"/>
    <col min="4" max="4" width="14" customWidth="1"/>
    <col min="5" max="5" width="30" customWidth="1"/>
    <col min="6" max="6" width="50" customWidth="1"/>
    <col min="7" max="8" width="18" customWidth="1"/>
    <col min="9" max="9" width="38" customWidth="1"/>
    <col min="10" max="10" width="26" customWidth="1"/>
    <col min="11" max="11" width="34" customWidth="1"/>
    <col min="12" max="12" width="18" customWidth="1"/>
    <col min="13" max="13" width="34" customWidth="1"/>
    <col min="14" max="14" width="32" customWidth="1"/>
    <col min="15" max="15" width="34" customWidth="1"/>
    <col min="16" max="16" width="26" customWidth="1"/>
    <col min="17" max="17" width="22" customWidth="1"/>
    <col min="18" max="18" width="72" customWidth="1"/>
  </cols>
  <sheetData>
    <row r="1" spans="1:18" ht="28">
      <c r="A1" s="9" t="s">
        <v>187</v>
      </c>
      <c r="B1" s="9" t="s">
        <v>910</v>
      </c>
      <c r="C1" s="9" t="s">
        <v>911</v>
      </c>
      <c r="D1" s="9" t="s">
        <v>912</v>
      </c>
      <c r="E1" s="9" t="s">
        <v>972</v>
      </c>
      <c r="F1" s="9" t="s">
        <v>973</v>
      </c>
      <c r="G1" s="9" t="s">
        <v>974</v>
      </c>
      <c r="H1" s="9" t="s">
        <v>708</v>
      </c>
      <c r="I1" s="9" t="s">
        <v>975</v>
      </c>
      <c r="J1" s="9" t="s">
        <v>976</v>
      </c>
      <c r="K1" s="9" t="s">
        <v>977</v>
      </c>
      <c r="L1" s="9" t="s">
        <v>715</v>
      </c>
      <c r="M1" s="9" t="s">
        <v>978</v>
      </c>
      <c r="N1" s="9" t="s">
        <v>979</v>
      </c>
      <c r="O1" s="9" t="s">
        <v>980</v>
      </c>
      <c r="P1" s="9" t="s">
        <v>981</v>
      </c>
      <c r="Q1" s="9" t="s">
        <v>982</v>
      </c>
      <c r="R1" s="9" t="s">
        <v>983</v>
      </c>
    </row>
    <row r="2" spans="1:18" ht="28">
      <c r="A2" s="2" t="s">
        <v>283</v>
      </c>
      <c r="B2" s="2">
        <v>7</v>
      </c>
      <c r="C2" s="2">
        <v>3</v>
      </c>
      <c r="D2" s="2">
        <v>1</v>
      </c>
      <c r="E2" s="2" t="s">
        <v>938</v>
      </c>
      <c r="F2" s="2" t="s">
        <v>984</v>
      </c>
      <c r="G2" s="2">
        <v>1225192</v>
      </c>
      <c r="H2" s="2">
        <v>2023</v>
      </c>
      <c r="I2" s="2" t="s">
        <v>729</v>
      </c>
      <c r="J2" s="2">
        <v>5790</v>
      </c>
      <c r="K2" s="2" t="s">
        <v>985</v>
      </c>
      <c r="L2" s="2">
        <v>1</v>
      </c>
      <c r="M2" s="2" t="s">
        <v>986</v>
      </c>
      <c r="N2" s="2" t="s">
        <v>986</v>
      </c>
      <c r="O2" s="2" t="s">
        <v>728</v>
      </c>
      <c r="P2" s="2">
        <v>76.3</v>
      </c>
      <c r="Q2" s="2" t="s">
        <v>205</v>
      </c>
      <c r="R2" s="2" t="s">
        <v>987</v>
      </c>
    </row>
    <row r="3" spans="1:18" ht="28">
      <c r="A3" s="2" t="s">
        <v>248</v>
      </c>
      <c r="B3" s="2">
        <v>6</v>
      </c>
      <c r="C3" s="2">
        <v>4</v>
      </c>
      <c r="D3" s="2">
        <v>1</v>
      </c>
      <c r="E3" s="2" t="s">
        <v>938</v>
      </c>
      <c r="F3" s="2" t="s">
        <v>984</v>
      </c>
      <c r="G3" s="2">
        <v>502185</v>
      </c>
      <c r="H3" s="2">
        <v>2023</v>
      </c>
      <c r="I3" s="2" t="s">
        <v>729</v>
      </c>
      <c r="J3" s="2">
        <v>22389</v>
      </c>
      <c r="K3" s="2" t="s">
        <v>985</v>
      </c>
      <c r="L3" s="2">
        <v>2</v>
      </c>
      <c r="M3" s="2" t="s">
        <v>986</v>
      </c>
      <c r="N3" s="2" t="s">
        <v>986</v>
      </c>
      <c r="O3" s="2" t="s">
        <v>736</v>
      </c>
      <c r="P3" s="2">
        <v>65.849999999999994</v>
      </c>
      <c r="Q3" s="2" t="s">
        <v>205</v>
      </c>
      <c r="R3" s="2" t="s">
        <v>987</v>
      </c>
    </row>
    <row r="4" spans="1:18" ht="28">
      <c r="A4" s="2" t="s">
        <v>221</v>
      </c>
      <c r="B4" s="2">
        <v>6</v>
      </c>
      <c r="C4" s="2">
        <v>6</v>
      </c>
      <c r="D4" s="2">
        <v>0</v>
      </c>
      <c r="E4" s="2" t="s">
        <v>988</v>
      </c>
      <c r="F4" s="2" t="s">
        <v>989</v>
      </c>
      <c r="G4" s="2">
        <v>486494</v>
      </c>
      <c r="H4" s="2">
        <v>2023</v>
      </c>
      <c r="I4" s="2" t="s">
        <v>729</v>
      </c>
      <c r="J4" s="2">
        <v>23412</v>
      </c>
      <c r="K4" s="2" t="s">
        <v>985</v>
      </c>
      <c r="L4" s="2">
        <v>4</v>
      </c>
      <c r="M4" s="2" t="s">
        <v>986</v>
      </c>
      <c r="N4" s="2" t="s">
        <v>986</v>
      </c>
      <c r="O4" s="2" t="s">
        <v>739</v>
      </c>
      <c r="P4" s="2">
        <v>82</v>
      </c>
      <c r="Q4" s="2" t="s">
        <v>205</v>
      </c>
      <c r="R4" s="2" t="s">
        <v>987</v>
      </c>
    </row>
    <row r="5" spans="1:18" ht="28">
      <c r="A5" s="2" t="s">
        <v>211</v>
      </c>
      <c r="B5" s="2">
        <v>6</v>
      </c>
      <c r="C5" s="2">
        <v>5</v>
      </c>
      <c r="D5" s="2">
        <v>0</v>
      </c>
      <c r="E5" s="2" t="s">
        <v>990</v>
      </c>
      <c r="F5" s="2" t="s">
        <v>991</v>
      </c>
      <c r="G5" s="2">
        <v>229046</v>
      </c>
      <c r="H5" s="2">
        <v>2023</v>
      </c>
      <c r="I5" s="2" t="s">
        <v>729</v>
      </c>
      <c r="J5" s="2">
        <v>40043</v>
      </c>
      <c r="K5" s="2" t="s">
        <v>985</v>
      </c>
      <c r="L5" s="2">
        <v>1</v>
      </c>
      <c r="M5" s="2" t="s">
        <v>986</v>
      </c>
      <c r="N5" s="2" t="s">
        <v>986</v>
      </c>
      <c r="O5" s="2" t="s">
        <v>736</v>
      </c>
      <c r="P5" s="2">
        <v>71.5</v>
      </c>
      <c r="Q5" s="2" t="s">
        <v>205</v>
      </c>
      <c r="R5" s="2" t="s">
        <v>987</v>
      </c>
    </row>
    <row r="6" spans="1:18" ht="28">
      <c r="A6" s="2" t="s">
        <v>201</v>
      </c>
      <c r="B6" s="2">
        <v>5</v>
      </c>
      <c r="C6" s="2">
        <v>4</v>
      </c>
      <c r="D6" s="2">
        <v>0</v>
      </c>
      <c r="E6" s="2" t="s">
        <v>990</v>
      </c>
      <c r="F6" s="2" t="s">
        <v>992</v>
      </c>
      <c r="G6" s="2">
        <v>141722</v>
      </c>
      <c r="H6" s="2">
        <v>2023</v>
      </c>
      <c r="I6" s="2" t="s">
        <v>729</v>
      </c>
      <c r="J6" s="2">
        <v>18358</v>
      </c>
      <c r="K6" s="2" t="s">
        <v>985</v>
      </c>
      <c r="L6" s="2">
        <v>1</v>
      </c>
      <c r="M6" s="2" t="s">
        <v>986</v>
      </c>
      <c r="N6" s="2" t="s">
        <v>986</v>
      </c>
      <c r="O6" s="2" t="s">
        <v>739</v>
      </c>
      <c r="P6" s="2">
        <v>479.5</v>
      </c>
      <c r="Q6" s="2" t="s">
        <v>205</v>
      </c>
      <c r="R6" s="2" t="s">
        <v>987</v>
      </c>
    </row>
    <row r="7" spans="1:18" ht="28">
      <c r="A7" s="2" t="s">
        <v>262</v>
      </c>
      <c r="B7" s="2">
        <v>4</v>
      </c>
      <c r="C7" s="2">
        <v>3</v>
      </c>
      <c r="D7" s="2">
        <v>0</v>
      </c>
      <c r="E7" s="2" t="s">
        <v>988</v>
      </c>
      <c r="F7" s="2" t="s">
        <v>993</v>
      </c>
      <c r="G7" s="2">
        <v>731898</v>
      </c>
      <c r="H7" s="2">
        <v>2023</v>
      </c>
      <c r="I7" s="2" t="s">
        <v>729</v>
      </c>
      <c r="J7" s="2">
        <v>13877</v>
      </c>
      <c r="K7" s="2" t="s">
        <v>985</v>
      </c>
      <c r="L7" s="2">
        <v>4</v>
      </c>
      <c r="M7" s="2" t="s">
        <v>986</v>
      </c>
      <c r="N7" s="2" t="s">
        <v>986</v>
      </c>
      <c r="O7" s="2" t="s">
        <v>736</v>
      </c>
      <c r="P7" s="2">
        <v>46.95</v>
      </c>
      <c r="Q7" s="2" t="s">
        <v>205</v>
      </c>
      <c r="R7" s="2" t="s">
        <v>987</v>
      </c>
    </row>
    <row r="8" spans="1:18" ht="28">
      <c r="A8" s="2" t="s">
        <v>10</v>
      </c>
      <c r="B8" s="2">
        <v>4</v>
      </c>
      <c r="C8" s="2">
        <v>3</v>
      </c>
      <c r="D8" s="2">
        <v>0</v>
      </c>
      <c r="E8" s="2" t="s">
        <v>990</v>
      </c>
      <c r="F8" s="2" t="s">
        <v>994</v>
      </c>
      <c r="G8" s="2">
        <v>356180</v>
      </c>
      <c r="H8" s="2">
        <v>2023</v>
      </c>
      <c r="I8" s="2" t="s">
        <v>729</v>
      </c>
      <c r="J8" s="2">
        <v>9980</v>
      </c>
      <c r="K8" s="2" t="s">
        <v>985</v>
      </c>
      <c r="L8" s="2">
        <v>3</v>
      </c>
      <c r="M8" s="2" t="s">
        <v>986</v>
      </c>
      <c r="N8" s="2" t="s">
        <v>986</v>
      </c>
      <c r="O8" s="2" t="s">
        <v>736</v>
      </c>
      <c r="P8" s="2">
        <v>60.5</v>
      </c>
      <c r="Q8" s="2" t="s">
        <v>205</v>
      </c>
      <c r="R8" s="2" t="s">
        <v>987</v>
      </c>
    </row>
    <row r="9" spans="1:18" ht="28">
      <c r="A9" s="2" t="s">
        <v>26</v>
      </c>
      <c r="B9" s="2">
        <v>3</v>
      </c>
      <c r="C9" s="2">
        <v>3</v>
      </c>
      <c r="D9" s="2">
        <v>0</v>
      </c>
      <c r="E9" s="2" t="s">
        <v>988</v>
      </c>
      <c r="F9" s="2" t="s">
        <v>995</v>
      </c>
      <c r="G9" s="2">
        <v>797906</v>
      </c>
      <c r="H9" s="2">
        <v>2023</v>
      </c>
      <c r="I9" s="2" t="s">
        <v>729</v>
      </c>
      <c r="J9" s="2">
        <v>15338</v>
      </c>
      <c r="K9" s="2" t="s">
        <v>985</v>
      </c>
      <c r="L9" s="2">
        <v>4</v>
      </c>
      <c r="M9" s="2" t="s">
        <v>986</v>
      </c>
      <c r="N9" s="2" t="s">
        <v>986</v>
      </c>
      <c r="O9" s="2" t="s">
        <v>736</v>
      </c>
      <c r="P9" s="2">
        <v>56.1</v>
      </c>
      <c r="Q9" s="2" t="s">
        <v>205</v>
      </c>
      <c r="R9" s="2" t="s">
        <v>987</v>
      </c>
    </row>
    <row r="10" spans="1:18" ht="28">
      <c r="A10" s="2" t="s">
        <v>258</v>
      </c>
      <c r="B10" s="2">
        <v>3</v>
      </c>
      <c r="C10" s="2">
        <v>3</v>
      </c>
      <c r="D10" s="2">
        <v>0</v>
      </c>
      <c r="E10" s="2" t="s">
        <v>990</v>
      </c>
      <c r="F10" s="2" t="s">
        <v>996</v>
      </c>
      <c r="G10" s="2">
        <v>683654</v>
      </c>
      <c r="H10" s="2">
        <v>2023</v>
      </c>
      <c r="I10" s="2" t="s">
        <v>729</v>
      </c>
      <c r="J10" s="2">
        <v>34650</v>
      </c>
      <c r="K10" s="2" t="s">
        <v>985</v>
      </c>
      <c r="L10" s="2">
        <v>3</v>
      </c>
      <c r="M10" s="2" t="s">
        <v>986</v>
      </c>
      <c r="N10" s="2" t="s">
        <v>986</v>
      </c>
      <c r="O10" s="2" t="s">
        <v>736</v>
      </c>
      <c r="P10" s="2">
        <v>56.95</v>
      </c>
      <c r="Q10" s="2" t="s">
        <v>205</v>
      </c>
      <c r="R10" s="2" t="s">
        <v>987</v>
      </c>
    </row>
    <row r="11" spans="1:18" ht="28">
      <c r="A11" s="2" t="s">
        <v>243</v>
      </c>
      <c r="B11" s="2">
        <v>3</v>
      </c>
      <c r="C11" s="2">
        <v>2</v>
      </c>
      <c r="D11" s="2">
        <v>0</v>
      </c>
      <c r="E11" s="2" t="s">
        <v>990</v>
      </c>
      <c r="F11" s="2" t="s">
        <v>997</v>
      </c>
      <c r="G11" s="2">
        <v>189931</v>
      </c>
      <c r="H11" s="2">
        <v>2023</v>
      </c>
      <c r="I11" s="2" t="s">
        <v>729</v>
      </c>
      <c r="J11" s="2">
        <v>38604</v>
      </c>
      <c r="K11" s="2" t="s">
        <v>985</v>
      </c>
      <c r="L11" s="2">
        <v>1</v>
      </c>
      <c r="M11" s="2" t="s">
        <v>986</v>
      </c>
      <c r="N11" s="2" t="s">
        <v>986</v>
      </c>
      <c r="O11" s="2" t="s">
        <v>739</v>
      </c>
      <c r="P11" s="2">
        <v>105.95</v>
      </c>
      <c r="Q11" s="2" t="s">
        <v>205</v>
      </c>
      <c r="R11" s="2" t="s">
        <v>987</v>
      </c>
    </row>
    <row r="12" spans="1:18" ht="28">
      <c r="A12" s="2" t="s">
        <v>44</v>
      </c>
      <c r="B12" s="2">
        <v>3</v>
      </c>
      <c r="C12" s="2">
        <v>3</v>
      </c>
      <c r="D12" s="2">
        <v>0</v>
      </c>
      <c r="E12" s="2" t="s">
        <v>990</v>
      </c>
      <c r="F12" s="2" t="s">
        <v>998</v>
      </c>
      <c r="G12" s="2">
        <v>473280</v>
      </c>
      <c r="H12" s="2">
        <v>2023</v>
      </c>
      <c r="I12" s="2" t="s">
        <v>729</v>
      </c>
      <c r="J12" s="2">
        <v>29636</v>
      </c>
      <c r="K12" s="2" t="s">
        <v>985</v>
      </c>
      <c r="L12" s="2">
        <v>2</v>
      </c>
      <c r="M12" s="2" t="s">
        <v>986</v>
      </c>
      <c r="N12" s="2" t="s">
        <v>986</v>
      </c>
      <c r="O12" s="2" t="s">
        <v>736</v>
      </c>
      <c r="P12" s="2">
        <v>49.5</v>
      </c>
      <c r="Q12" s="2" t="s">
        <v>205</v>
      </c>
      <c r="R12" s="2" t="s">
        <v>987</v>
      </c>
    </row>
    <row r="13" spans="1:18" ht="28">
      <c r="A13" s="2" t="s">
        <v>59</v>
      </c>
      <c r="B13" s="2">
        <v>2</v>
      </c>
      <c r="C13" s="2">
        <v>2</v>
      </c>
      <c r="D13" s="2">
        <v>0</v>
      </c>
      <c r="E13" s="2" t="s">
        <v>988</v>
      </c>
      <c r="F13" s="2" t="s">
        <v>999</v>
      </c>
      <c r="G13" s="2">
        <v>506481</v>
      </c>
      <c r="H13" s="2">
        <v>2023</v>
      </c>
      <c r="I13" s="2" t="s">
        <v>755</v>
      </c>
      <c r="J13" s="2">
        <v>8434</v>
      </c>
      <c r="K13" s="2" t="s">
        <v>985</v>
      </c>
      <c r="L13" s="2">
        <v>2</v>
      </c>
      <c r="M13" s="2" t="s">
        <v>1000</v>
      </c>
      <c r="N13" s="2" t="s">
        <v>1000</v>
      </c>
      <c r="O13" s="2" t="s">
        <v>736</v>
      </c>
      <c r="P13" s="2">
        <v>47.35</v>
      </c>
      <c r="Q13" s="2" t="s">
        <v>205</v>
      </c>
      <c r="R13" s="2" t="s">
        <v>987</v>
      </c>
    </row>
    <row r="14" spans="1:18" ht="28">
      <c r="A14" s="2" t="s">
        <v>272</v>
      </c>
      <c r="B14" s="2">
        <v>2</v>
      </c>
      <c r="C14" s="2">
        <v>2</v>
      </c>
      <c r="D14" s="2">
        <v>0</v>
      </c>
      <c r="E14" s="2" t="s">
        <v>990</v>
      </c>
      <c r="F14" s="2" t="s">
        <v>1001</v>
      </c>
      <c r="G14" s="2">
        <v>176501</v>
      </c>
      <c r="H14" s="2">
        <v>2023</v>
      </c>
      <c r="I14" s="2" t="s">
        <v>729</v>
      </c>
      <c r="J14" s="2">
        <v>42225</v>
      </c>
      <c r="K14" s="2" t="s">
        <v>985</v>
      </c>
      <c r="L14" s="2">
        <v>1</v>
      </c>
      <c r="M14" s="2" t="s">
        <v>986</v>
      </c>
      <c r="N14" s="2" t="s">
        <v>986</v>
      </c>
      <c r="O14" s="2" t="s">
        <v>736</v>
      </c>
      <c r="P14" s="2">
        <v>64</v>
      </c>
      <c r="Q14" s="2" t="s">
        <v>205</v>
      </c>
      <c r="R14" s="2" t="s">
        <v>987</v>
      </c>
    </row>
    <row r="15" spans="1:18" ht="28">
      <c r="A15" s="2" t="s">
        <v>276</v>
      </c>
      <c r="B15" s="2">
        <v>2</v>
      </c>
      <c r="C15" s="2">
        <v>2</v>
      </c>
      <c r="D15" s="2">
        <v>0</v>
      </c>
      <c r="E15" s="2" t="s">
        <v>988</v>
      </c>
      <c r="F15" s="2" t="s">
        <v>1002</v>
      </c>
      <c r="G15" s="2">
        <v>238436</v>
      </c>
      <c r="H15" s="2">
        <v>2023</v>
      </c>
      <c r="I15" s="2" t="s">
        <v>729</v>
      </c>
      <c r="J15" s="2">
        <v>33394</v>
      </c>
      <c r="K15" s="2" t="s">
        <v>985</v>
      </c>
      <c r="L15" s="2">
        <v>2</v>
      </c>
      <c r="M15" s="2" t="s">
        <v>986</v>
      </c>
      <c r="N15" s="2" t="s">
        <v>986</v>
      </c>
      <c r="O15" s="2" t="s">
        <v>736</v>
      </c>
      <c r="P15" s="2">
        <v>55.75</v>
      </c>
      <c r="Q15" s="2" t="s">
        <v>205</v>
      </c>
      <c r="R15" s="2" t="s">
        <v>987</v>
      </c>
    </row>
    <row r="16" spans="1:18" ht="28">
      <c r="A16" s="2" t="s">
        <v>100</v>
      </c>
      <c r="B16" s="2">
        <v>2</v>
      </c>
      <c r="C16" s="2">
        <v>2</v>
      </c>
      <c r="D16" s="2">
        <v>0</v>
      </c>
      <c r="E16" s="2" t="s">
        <v>988</v>
      </c>
      <c r="F16" s="2" t="s">
        <v>1003</v>
      </c>
      <c r="G16" s="2">
        <v>336705</v>
      </c>
      <c r="H16" s="2">
        <v>2021</v>
      </c>
      <c r="I16" s="2" t="s">
        <v>764</v>
      </c>
      <c r="J16" s="2">
        <v>2832</v>
      </c>
      <c r="K16" s="2" t="s">
        <v>985</v>
      </c>
      <c r="L16" s="2">
        <v>1</v>
      </c>
      <c r="M16" s="2" t="s">
        <v>1000</v>
      </c>
      <c r="N16" s="2" t="s">
        <v>1000</v>
      </c>
      <c r="O16" s="2" t="s">
        <v>763</v>
      </c>
      <c r="P16" s="2">
        <v>45.2</v>
      </c>
      <c r="Q16" s="2" t="s">
        <v>205</v>
      </c>
      <c r="R16" s="2" t="s">
        <v>987</v>
      </c>
    </row>
    <row r="17" spans="1:18" ht="28">
      <c r="A17" s="2" t="s">
        <v>96</v>
      </c>
      <c r="B17" s="2">
        <v>2</v>
      </c>
      <c r="C17" s="2">
        <v>2</v>
      </c>
      <c r="D17" s="2">
        <v>0</v>
      </c>
      <c r="E17" s="2" t="s">
        <v>988</v>
      </c>
      <c r="F17" s="2" t="s">
        <v>1004</v>
      </c>
      <c r="G17" s="2">
        <v>365500</v>
      </c>
      <c r="H17" s="2">
        <v>2024</v>
      </c>
      <c r="I17" s="2" t="s">
        <v>768</v>
      </c>
      <c r="J17" s="2">
        <v>2422.1980701940411</v>
      </c>
      <c r="K17" s="2" t="s">
        <v>985</v>
      </c>
      <c r="L17" s="2">
        <v>1</v>
      </c>
      <c r="M17" s="2" t="s">
        <v>1000</v>
      </c>
      <c r="N17" s="2" t="s">
        <v>1000</v>
      </c>
      <c r="O17" s="2" t="s">
        <v>736</v>
      </c>
      <c r="P17" s="2">
        <v>60.9</v>
      </c>
      <c r="Q17" s="2" t="s">
        <v>205</v>
      </c>
      <c r="R17" s="2" t="s">
        <v>987</v>
      </c>
    </row>
    <row r="18" spans="1:18" ht="28">
      <c r="A18" s="2" t="s">
        <v>86</v>
      </c>
      <c r="B18" s="2">
        <v>1</v>
      </c>
      <c r="C18" s="2">
        <v>1</v>
      </c>
      <c r="D18" s="2">
        <v>0</v>
      </c>
      <c r="E18" s="2" t="s">
        <v>988</v>
      </c>
      <c r="F18" s="2" t="s">
        <v>1005</v>
      </c>
      <c r="G18" s="2">
        <v>108701</v>
      </c>
      <c r="H18" s="2">
        <v>2023</v>
      </c>
      <c r="I18" s="2" t="s">
        <v>772</v>
      </c>
      <c r="J18" s="2">
        <v>1194.0441144162749</v>
      </c>
      <c r="K18" s="2" t="s">
        <v>985</v>
      </c>
      <c r="L18" s="2">
        <v>1</v>
      </c>
      <c r="M18" s="2" t="s">
        <v>1000</v>
      </c>
      <c r="N18" s="2" t="s">
        <v>1000</v>
      </c>
      <c r="O18" s="2" t="s">
        <v>1006</v>
      </c>
      <c r="P18" s="2" t="s">
        <v>1007</v>
      </c>
      <c r="Q18" s="2" t="s">
        <v>205</v>
      </c>
      <c r="R18" s="2" t="s">
        <v>987</v>
      </c>
    </row>
    <row r="19" spans="1:18" ht="28">
      <c r="A19" s="2" t="s">
        <v>76</v>
      </c>
      <c r="B19" s="2">
        <v>1</v>
      </c>
      <c r="C19" s="2">
        <v>1</v>
      </c>
      <c r="D19" s="2">
        <v>0</v>
      </c>
      <c r="E19" s="2" t="s">
        <v>990</v>
      </c>
      <c r="F19" s="2" t="s">
        <v>1008</v>
      </c>
      <c r="G19" s="2">
        <v>166100</v>
      </c>
      <c r="H19" s="2">
        <v>2023</v>
      </c>
      <c r="I19" s="2" t="s">
        <v>729</v>
      </c>
      <c r="J19" s="2">
        <v>34177</v>
      </c>
      <c r="K19" s="2" t="s">
        <v>985</v>
      </c>
      <c r="L19" s="2">
        <v>1</v>
      </c>
      <c r="M19" s="2" t="s">
        <v>986</v>
      </c>
      <c r="N19" s="2" t="s">
        <v>986</v>
      </c>
      <c r="O19" s="2" t="s">
        <v>736</v>
      </c>
      <c r="P19" s="2">
        <v>90.1</v>
      </c>
      <c r="Q19" s="2" t="s">
        <v>205</v>
      </c>
      <c r="R19" s="2" t="s">
        <v>987</v>
      </c>
    </row>
    <row r="20" spans="1:18" ht="28">
      <c r="A20" s="2" t="s">
        <v>344</v>
      </c>
      <c r="B20" s="2">
        <v>0</v>
      </c>
      <c r="C20" s="2">
        <v>0</v>
      </c>
      <c r="D20" s="2">
        <v>1</v>
      </c>
      <c r="E20" s="2" t="s">
        <v>938</v>
      </c>
      <c r="F20" s="2" t="s">
        <v>984</v>
      </c>
      <c r="G20" s="2">
        <v>146461</v>
      </c>
      <c r="H20" s="2">
        <v>2023</v>
      </c>
      <c r="I20" s="2" t="s">
        <v>729</v>
      </c>
      <c r="J20" s="2">
        <v>34300</v>
      </c>
      <c r="K20" s="2" t="s">
        <v>985</v>
      </c>
      <c r="L20" s="2">
        <v>1</v>
      </c>
      <c r="M20" s="2" t="s">
        <v>986</v>
      </c>
      <c r="N20" s="2" t="s">
        <v>986</v>
      </c>
      <c r="O20" s="2" t="s">
        <v>776</v>
      </c>
      <c r="P20" s="2">
        <v>110.6</v>
      </c>
      <c r="Q20" s="2" t="s">
        <v>205</v>
      </c>
      <c r="R20" s="2" t="s">
        <v>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30" customWidth="1"/>
    <col min="3" max="3" width="38" customWidth="1"/>
    <col min="4" max="4" width="55" customWidth="1"/>
    <col min="5" max="6" width="16" customWidth="1"/>
    <col min="7" max="7" width="55" customWidth="1"/>
    <col min="8" max="8" width="24" customWidth="1"/>
    <col min="9" max="9" width="40" customWidth="1"/>
    <col min="10" max="10" width="24" customWidth="1"/>
    <col min="11" max="11" width="70" customWidth="1"/>
  </cols>
  <sheetData>
    <row r="1" spans="1:11" ht="28">
      <c r="A1" s="10" t="s">
        <v>1009</v>
      </c>
      <c r="B1" s="10" t="s">
        <v>1010</v>
      </c>
      <c r="C1" s="10" t="s">
        <v>1011</v>
      </c>
      <c r="D1" s="10" t="s">
        <v>1012</v>
      </c>
      <c r="E1" s="10" t="s">
        <v>1013</v>
      </c>
      <c r="F1" s="10" t="s">
        <v>1014</v>
      </c>
      <c r="G1" s="10" t="s">
        <v>1015</v>
      </c>
      <c r="H1" s="10" t="s">
        <v>1016</v>
      </c>
      <c r="I1" s="10" t="s">
        <v>1017</v>
      </c>
      <c r="J1" s="10" t="s">
        <v>1018</v>
      </c>
      <c r="K1" s="10" t="s">
        <v>922</v>
      </c>
    </row>
    <row r="2" spans="1:11" ht="42">
      <c r="A2" s="2" t="s">
        <v>221</v>
      </c>
      <c r="B2" s="2" t="s">
        <v>1019</v>
      </c>
      <c r="C2" s="2" t="s">
        <v>1020</v>
      </c>
      <c r="D2" s="2" t="s">
        <v>1021</v>
      </c>
      <c r="E2" s="2">
        <v>3</v>
      </c>
      <c r="F2" s="2">
        <v>3</v>
      </c>
      <c r="G2" s="2" t="s">
        <v>1022</v>
      </c>
      <c r="H2" s="2" t="s">
        <v>213</v>
      </c>
      <c r="I2" s="2" t="s">
        <v>1023</v>
      </c>
      <c r="J2" s="2" t="s">
        <v>1024</v>
      </c>
      <c r="K2" s="2" t="s">
        <v>1025</v>
      </c>
    </row>
    <row r="3" spans="1:11" ht="42">
      <c r="A3" s="2" t="s">
        <v>221</v>
      </c>
      <c r="B3" s="2" t="s">
        <v>1026</v>
      </c>
      <c r="C3" s="2" t="s">
        <v>1027</v>
      </c>
      <c r="D3" s="2" t="s">
        <v>1028</v>
      </c>
      <c r="E3" s="2">
        <v>3</v>
      </c>
      <c r="F3" s="2">
        <v>3</v>
      </c>
      <c r="G3" s="2" t="s">
        <v>1029</v>
      </c>
      <c r="H3" s="2" t="s">
        <v>213</v>
      </c>
      <c r="I3" s="2" t="s">
        <v>1030</v>
      </c>
      <c r="J3" s="2" t="s">
        <v>1024</v>
      </c>
      <c r="K3" s="2" t="s">
        <v>1025</v>
      </c>
    </row>
    <row r="4" spans="1:11" ht="42">
      <c r="A4" s="2" t="s">
        <v>221</v>
      </c>
      <c r="B4" s="2" t="s">
        <v>1031</v>
      </c>
      <c r="C4" s="2" t="s">
        <v>1032</v>
      </c>
      <c r="D4" s="2" t="s">
        <v>1033</v>
      </c>
      <c r="E4" s="2">
        <v>2</v>
      </c>
      <c r="F4" s="2">
        <v>2</v>
      </c>
      <c r="G4" s="2" t="s">
        <v>1034</v>
      </c>
      <c r="H4" s="2" t="s">
        <v>213</v>
      </c>
      <c r="I4" s="2" t="s">
        <v>1035</v>
      </c>
      <c r="J4" s="2" t="s">
        <v>1024</v>
      </c>
      <c r="K4" s="2" t="s">
        <v>1025</v>
      </c>
    </row>
    <row r="5" spans="1:11" ht="42">
      <c r="A5" s="2" t="s">
        <v>221</v>
      </c>
      <c r="B5" s="2" t="s">
        <v>1036</v>
      </c>
      <c r="C5" s="2" t="s">
        <v>1037</v>
      </c>
      <c r="D5" s="2" t="s">
        <v>1038</v>
      </c>
      <c r="E5" s="2">
        <v>2</v>
      </c>
      <c r="F5" s="2">
        <v>2</v>
      </c>
      <c r="G5" s="2" t="s">
        <v>1039</v>
      </c>
      <c r="H5" s="2" t="s">
        <v>213</v>
      </c>
      <c r="I5" s="2" t="s">
        <v>1023</v>
      </c>
      <c r="J5" s="2" t="s">
        <v>1024</v>
      </c>
      <c r="K5" s="2" t="s">
        <v>1025</v>
      </c>
    </row>
    <row r="6" spans="1:11" ht="42">
      <c r="A6" s="2" t="s">
        <v>221</v>
      </c>
      <c r="B6" s="2" t="s">
        <v>1040</v>
      </c>
      <c r="C6" s="2" t="s">
        <v>1041</v>
      </c>
      <c r="D6" s="2" t="s">
        <v>1042</v>
      </c>
      <c r="E6" s="2">
        <v>2</v>
      </c>
      <c r="F6" s="2">
        <v>2</v>
      </c>
      <c r="G6" s="2" t="s">
        <v>1043</v>
      </c>
      <c r="H6" s="2" t="s">
        <v>213</v>
      </c>
      <c r="I6" s="2" t="s">
        <v>1035</v>
      </c>
      <c r="J6" s="2" t="s">
        <v>1024</v>
      </c>
      <c r="K6" s="2" t="s">
        <v>1025</v>
      </c>
    </row>
    <row r="7" spans="1:11" ht="42">
      <c r="A7" s="2" t="s">
        <v>26</v>
      </c>
      <c r="B7" s="2" t="s">
        <v>1044</v>
      </c>
      <c r="C7" s="2" t="s">
        <v>1045</v>
      </c>
      <c r="D7" s="2" t="s">
        <v>1046</v>
      </c>
      <c r="E7" s="2">
        <v>3</v>
      </c>
      <c r="F7" s="2">
        <v>3</v>
      </c>
      <c r="G7" s="2" t="s">
        <v>1047</v>
      </c>
      <c r="H7" s="2" t="s">
        <v>213</v>
      </c>
      <c r="I7" s="2" t="s">
        <v>1030</v>
      </c>
      <c r="J7" s="2" t="s">
        <v>1024</v>
      </c>
      <c r="K7" s="2" t="s">
        <v>1025</v>
      </c>
    </row>
    <row r="8" spans="1:11" ht="42">
      <c r="A8" s="2" t="s">
        <v>26</v>
      </c>
      <c r="B8" s="2" t="s">
        <v>1048</v>
      </c>
      <c r="C8" s="2" t="s">
        <v>1049</v>
      </c>
      <c r="D8" s="2" t="s">
        <v>1050</v>
      </c>
      <c r="E8" s="2">
        <v>3</v>
      </c>
      <c r="F8" s="2">
        <v>3</v>
      </c>
      <c r="G8" s="2" t="s">
        <v>1051</v>
      </c>
      <c r="H8" s="2" t="s">
        <v>213</v>
      </c>
      <c r="I8" s="2" t="s">
        <v>1030</v>
      </c>
      <c r="J8" s="2" t="s">
        <v>1024</v>
      </c>
      <c r="K8" s="2" t="s">
        <v>1025</v>
      </c>
    </row>
    <row r="9" spans="1:11" ht="42">
      <c r="A9" s="2" t="s">
        <v>26</v>
      </c>
      <c r="B9" s="2" t="s">
        <v>1052</v>
      </c>
      <c r="C9" s="2" t="s">
        <v>1053</v>
      </c>
      <c r="D9" s="2" t="s">
        <v>1054</v>
      </c>
      <c r="E9" s="2">
        <v>2</v>
      </c>
      <c r="F9" s="2">
        <v>2</v>
      </c>
      <c r="G9" s="2" t="s">
        <v>1055</v>
      </c>
      <c r="H9" s="2" t="s">
        <v>213</v>
      </c>
      <c r="I9" s="2" t="s">
        <v>1035</v>
      </c>
      <c r="J9" s="2" t="s">
        <v>1024</v>
      </c>
      <c r="K9" s="2" t="s">
        <v>1025</v>
      </c>
    </row>
    <row r="10" spans="1:11" ht="42">
      <c r="A10" s="2" t="s">
        <v>26</v>
      </c>
      <c r="B10" s="2" t="s">
        <v>1056</v>
      </c>
      <c r="C10" s="2" t="s">
        <v>1057</v>
      </c>
      <c r="D10" s="2" t="s">
        <v>1058</v>
      </c>
      <c r="E10" s="2">
        <v>2</v>
      </c>
      <c r="F10" s="2">
        <v>2</v>
      </c>
      <c r="G10" s="2" t="s">
        <v>1059</v>
      </c>
      <c r="H10" s="2" t="s">
        <v>213</v>
      </c>
      <c r="I10" s="2" t="s">
        <v>1030</v>
      </c>
      <c r="J10" s="2" t="s">
        <v>1024</v>
      </c>
      <c r="K10" s="2" t="s">
        <v>1025</v>
      </c>
    </row>
    <row r="11" spans="1:11" ht="42">
      <c r="A11" s="2" t="s">
        <v>26</v>
      </c>
      <c r="B11" s="2" t="s">
        <v>510</v>
      </c>
      <c r="C11" s="2" t="s">
        <v>1060</v>
      </c>
      <c r="D11" s="2" t="s">
        <v>1061</v>
      </c>
      <c r="E11" s="2">
        <v>2</v>
      </c>
      <c r="F11" s="2">
        <v>2</v>
      </c>
      <c r="G11" s="2" t="s">
        <v>1062</v>
      </c>
      <c r="H11" s="2" t="s">
        <v>213</v>
      </c>
      <c r="I11" s="2" t="s">
        <v>1023</v>
      </c>
      <c r="J11" s="2" t="s">
        <v>1024</v>
      </c>
      <c r="K11" s="2" t="s">
        <v>1025</v>
      </c>
    </row>
    <row r="12" spans="1:11" ht="42">
      <c r="A12" s="2" t="s">
        <v>262</v>
      </c>
      <c r="B12" s="2" t="s">
        <v>1063</v>
      </c>
      <c r="C12" s="2" t="s">
        <v>1064</v>
      </c>
      <c r="D12" s="2" t="s">
        <v>1065</v>
      </c>
      <c r="E12" s="2">
        <v>3</v>
      </c>
      <c r="F12" s="2">
        <v>3</v>
      </c>
      <c r="G12" s="2" t="s">
        <v>1066</v>
      </c>
      <c r="H12" s="2" t="s">
        <v>213</v>
      </c>
      <c r="I12" s="2" t="s">
        <v>1030</v>
      </c>
      <c r="J12" s="2" t="s">
        <v>1024</v>
      </c>
      <c r="K12" s="2" t="s">
        <v>1025</v>
      </c>
    </row>
    <row r="13" spans="1:11" ht="42">
      <c r="A13" s="2" t="s">
        <v>262</v>
      </c>
      <c r="B13" s="2" t="s">
        <v>1067</v>
      </c>
      <c r="C13" s="2" t="s">
        <v>1068</v>
      </c>
      <c r="D13" s="2" t="s">
        <v>1069</v>
      </c>
      <c r="E13" s="2">
        <v>3</v>
      </c>
      <c r="F13" s="2">
        <v>3</v>
      </c>
      <c r="G13" s="2" t="s">
        <v>1070</v>
      </c>
      <c r="H13" s="2" t="s">
        <v>213</v>
      </c>
      <c r="I13" s="2" t="s">
        <v>1071</v>
      </c>
      <c r="J13" s="2" t="s">
        <v>1024</v>
      </c>
      <c r="K13" s="2" t="s">
        <v>1025</v>
      </c>
    </row>
    <row r="14" spans="1:11" ht="42">
      <c r="A14" s="2" t="s">
        <v>262</v>
      </c>
      <c r="B14" s="2" t="s">
        <v>1072</v>
      </c>
      <c r="C14" s="2" t="s">
        <v>1073</v>
      </c>
      <c r="D14" s="2" t="s">
        <v>1074</v>
      </c>
      <c r="E14" s="2">
        <v>4</v>
      </c>
      <c r="F14" s="2">
        <v>4</v>
      </c>
      <c r="G14" s="2" t="s">
        <v>1075</v>
      </c>
      <c r="H14" s="2" t="s">
        <v>213</v>
      </c>
      <c r="I14" s="2" t="s">
        <v>1071</v>
      </c>
      <c r="J14" s="2" t="s">
        <v>1024</v>
      </c>
      <c r="K14" s="2" t="s">
        <v>1025</v>
      </c>
    </row>
    <row r="15" spans="1:11" ht="42">
      <c r="A15" s="2" t="s">
        <v>262</v>
      </c>
      <c r="B15" s="2" t="s">
        <v>1076</v>
      </c>
      <c r="C15" s="2" t="s">
        <v>1077</v>
      </c>
      <c r="D15" s="2" t="s">
        <v>1078</v>
      </c>
      <c r="E15" s="2">
        <v>2</v>
      </c>
      <c r="F15" s="2">
        <v>2</v>
      </c>
      <c r="G15" s="2" t="s">
        <v>1079</v>
      </c>
      <c r="H15" s="2" t="s">
        <v>213</v>
      </c>
      <c r="I15" s="2" t="s">
        <v>1071</v>
      </c>
      <c r="J15" s="2" t="s">
        <v>1024</v>
      </c>
      <c r="K15" s="2" t="s">
        <v>1025</v>
      </c>
    </row>
    <row r="16" spans="1:11" ht="42">
      <c r="A16" s="2" t="s">
        <v>262</v>
      </c>
      <c r="B16" s="2" t="s">
        <v>1080</v>
      </c>
      <c r="C16" s="2" t="s">
        <v>1081</v>
      </c>
      <c r="D16" s="2" t="s">
        <v>1082</v>
      </c>
      <c r="E16" s="2">
        <v>2</v>
      </c>
      <c r="F16" s="2">
        <v>2</v>
      </c>
      <c r="G16" s="2" t="s">
        <v>1083</v>
      </c>
      <c r="H16" s="2" t="s">
        <v>213</v>
      </c>
      <c r="I16" s="2" t="s">
        <v>1084</v>
      </c>
      <c r="J16" s="2" t="s">
        <v>1024</v>
      </c>
      <c r="K16" s="2" t="s">
        <v>1025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9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30" customWidth="1"/>
    <col min="3" max="3" width="35" customWidth="1"/>
    <col min="4" max="4" width="34" customWidth="1"/>
    <col min="5" max="5" width="16" customWidth="1"/>
    <col min="6" max="6" width="28" customWidth="1"/>
    <col min="7" max="7" width="60" customWidth="1"/>
    <col min="8" max="8" width="62" customWidth="1"/>
    <col min="9" max="9" width="52" customWidth="1"/>
    <col min="10" max="11" width="22" customWidth="1"/>
    <col min="12" max="12" width="52" customWidth="1"/>
  </cols>
  <sheetData>
    <row r="1" spans="1:12" ht="28">
      <c r="A1" s="10" t="s">
        <v>1009</v>
      </c>
      <c r="B1" s="10" t="s">
        <v>1010</v>
      </c>
      <c r="C1" s="10" t="s">
        <v>1085</v>
      </c>
      <c r="D1" s="10" t="s">
        <v>1086</v>
      </c>
      <c r="E1" s="10" t="s">
        <v>1087</v>
      </c>
      <c r="F1" s="10" t="s">
        <v>1088</v>
      </c>
      <c r="G1" s="10" t="s">
        <v>191</v>
      </c>
      <c r="H1" s="10" t="s">
        <v>1089</v>
      </c>
      <c r="I1" s="10" t="s">
        <v>1090</v>
      </c>
      <c r="J1" s="10" t="s">
        <v>1091</v>
      </c>
      <c r="K1" s="10" t="s">
        <v>1092</v>
      </c>
      <c r="L1" s="10" t="s">
        <v>802</v>
      </c>
    </row>
    <row r="2" spans="1:12" ht="28">
      <c r="A2" s="2" t="s">
        <v>221</v>
      </c>
      <c r="B2" s="2" t="s">
        <v>1019</v>
      </c>
      <c r="C2" s="2" t="s">
        <v>1093</v>
      </c>
      <c r="D2" s="2" t="s">
        <v>504</v>
      </c>
      <c r="E2" s="2" t="s">
        <v>532</v>
      </c>
      <c r="F2" s="2" t="s">
        <v>480</v>
      </c>
      <c r="G2" s="2" t="s">
        <v>533</v>
      </c>
      <c r="H2" s="2" t="s">
        <v>1094</v>
      </c>
      <c r="I2" s="2" t="s">
        <v>1095</v>
      </c>
      <c r="J2" s="2" t="s">
        <v>213</v>
      </c>
      <c r="K2" s="2" t="s">
        <v>1035</v>
      </c>
      <c r="L2" s="2" t="s">
        <v>564</v>
      </c>
    </row>
    <row r="3" spans="1:12" ht="28">
      <c r="A3" s="2" t="s">
        <v>221</v>
      </c>
      <c r="B3" s="2" t="s">
        <v>1019</v>
      </c>
      <c r="C3" s="2" t="s">
        <v>1093</v>
      </c>
      <c r="D3" s="2" t="s">
        <v>1096</v>
      </c>
      <c r="E3" s="2" t="s">
        <v>566</v>
      </c>
      <c r="F3" s="2" t="s">
        <v>480</v>
      </c>
      <c r="G3" s="2" t="s">
        <v>567</v>
      </c>
      <c r="H3" s="2" t="s">
        <v>1097</v>
      </c>
      <c r="I3" s="2" t="s">
        <v>1098</v>
      </c>
      <c r="J3" s="2" t="s">
        <v>213</v>
      </c>
      <c r="K3" s="2" t="s">
        <v>1035</v>
      </c>
      <c r="L3" s="2" t="s">
        <v>1099</v>
      </c>
    </row>
    <row r="4" spans="1:12" ht="28">
      <c r="A4" s="2" t="s">
        <v>221</v>
      </c>
      <c r="B4" s="2" t="s">
        <v>1019</v>
      </c>
      <c r="C4" s="2" t="s">
        <v>1093</v>
      </c>
      <c r="D4" s="2" t="s">
        <v>1100</v>
      </c>
      <c r="E4" s="2" t="s">
        <v>1101</v>
      </c>
      <c r="F4" s="2" t="s">
        <v>1102</v>
      </c>
      <c r="G4" s="2" t="s">
        <v>579</v>
      </c>
      <c r="H4" s="2" t="s">
        <v>1103</v>
      </c>
      <c r="I4" s="2" t="s">
        <v>1104</v>
      </c>
      <c r="J4" s="2" t="s">
        <v>213</v>
      </c>
      <c r="K4" s="2" t="s">
        <v>1105</v>
      </c>
      <c r="L4" s="2" t="s">
        <v>582</v>
      </c>
    </row>
    <row r="5" spans="1:12" ht="28">
      <c r="A5" s="2" t="s">
        <v>221</v>
      </c>
      <c r="B5" s="2" t="s">
        <v>1026</v>
      </c>
      <c r="C5" s="2" t="s">
        <v>1106</v>
      </c>
      <c r="D5" s="2" t="s">
        <v>497</v>
      </c>
      <c r="E5" s="2" t="s">
        <v>1107</v>
      </c>
      <c r="F5" s="2" t="s">
        <v>480</v>
      </c>
      <c r="G5" s="2" t="s">
        <v>506</v>
      </c>
      <c r="H5" s="2" t="s">
        <v>1108</v>
      </c>
      <c r="I5" s="2" t="s">
        <v>1109</v>
      </c>
      <c r="J5" s="2" t="s">
        <v>213</v>
      </c>
      <c r="K5" s="2" t="s">
        <v>1035</v>
      </c>
      <c r="L5" s="2" t="s">
        <v>1110</v>
      </c>
    </row>
    <row r="6" spans="1:12" ht="56">
      <c r="A6" s="2" t="s">
        <v>221</v>
      </c>
      <c r="B6" s="2" t="s">
        <v>1026</v>
      </c>
      <c r="C6" s="2" t="s">
        <v>1111</v>
      </c>
      <c r="D6" s="2" t="s">
        <v>1112</v>
      </c>
      <c r="E6" s="2" t="s">
        <v>1113</v>
      </c>
      <c r="F6" s="2" t="s">
        <v>1114</v>
      </c>
      <c r="G6" s="2" t="s">
        <v>1115</v>
      </c>
      <c r="H6" s="2" t="s">
        <v>1116</v>
      </c>
      <c r="I6" s="2" t="s">
        <v>1117</v>
      </c>
      <c r="J6" s="2" t="s">
        <v>213</v>
      </c>
      <c r="K6" s="2" t="s">
        <v>1118</v>
      </c>
      <c r="L6" s="2" t="s">
        <v>1119</v>
      </c>
    </row>
    <row r="7" spans="1:12" ht="28">
      <c r="A7" s="2" t="s">
        <v>221</v>
      </c>
      <c r="B7" s="2" t="s">
        <v>1026</v>
      </c>
      <c r="C7" s="2" t="s">
        <v>1120</v>
      </c>
      <c r="D7" s="2" t="s">
        <v>1121</v>
      </c>
      <c r="E7" s="2" t="s">
        <v>1122</v>
      </c>
      <c r="F7" s="2" t="s">
        <v>1123</v>
      </c>
      <c r="G7" s="2" t="s">
        <v>1124</v>
      </c>
      <c r="H7" s="2" t="s">
        <v>1125</v>
      </c>
      <c r="I7" s="2" t="s">
        <v>1126</v>
      </c>
      <c r="J7" s="2" t="s">
        <v>213</v>
      </c>
      <c r="K7" s="2" t="s">
        <v>1118</v>
      </c>
      <c r="L7" s="2" t="s">
        <v>1127</v>
      </c>
    </row>
    <row r="8" spans="1:12" ht="28">
      <c r="A8" s="2" t="s">
        <v>221</v>
      </c>
      <c r="B8" s="2" t="s">
        <v>1031</v>
      </c>
      <c r="C8" s="2" t="s">
        <v>1093</v>
      </c>
      <c r="D8" s="2" t="s">
        <v>504</v>
      </c>
      <c r="E8" s="2" t="s">
        <v>532</v>
      </c>
      <c r="F8" s="2" t="s">
        <v>480</v>
      </c>
      <c r="G8" s="2" t="s">
        <v>533</v>
      </c>
      <c r="H8" s="2" t="s">
        <v>1128</v>
      </c>
      <c r="I8" s="2" t="s">
        <v>1129</v>
      </c>
      <c r="J8" s="2" t="s">
        <v>213</v>
      </c>
      <c r="K8" s="2" t="s">
        <v>1035</v>
      </c>
      <c r="L8" s="2" t="s">
        <v>609</v>
      </c>
    </row>
    <row r="9" spans="1:12" ht="28">
      <c r="A9" s="2" t="s">
        <v>221</v>
      </c>
      <c r="B9" s="2" t="s">
        <v>1031</v>
      </c>
      <c r="C9" s="2" t="s">
        <v>1093</v>
      </c>
      <c r="D9" s="2" t="s">
        <v>1130</v>
      </c>
      <c r="E9" s="2" t="s">
        <v>505</v>
      </c>
      <c r="F9" s="2" t="s">
        <v>480</v>
      </c>
      <c r="G9" s="2" t="s">
        <v>506</v>
      </c>
      <c r="H9" s="2" t="s">
        <v>1131</v>
      </c>
      <c r="I9" s="2" t="s">
        <v>1132</v>
      </c>
      <c r="J9" s="2" t="s">
        <v>213</v>
      </c>
      <c r="K9" s="2" t="s">
        <v>1035</v>
      </c>
      <c r="L9" s="2" t="s">
        <v>1110</v>
      </c>
    </row>
    <row r="10" spans="1:12" ht="28">
      <c r="A10" s="2" t="s">
        <v>221</v>
      </c>
      <c r="B10" s="2" t="s">
        <v>1036</v>
      </c>
      <c r="C10" s="2" t="s">
        <v>1093</v>
      </c>
      <c r="D10" s="2" t="s">
        <v>1133</v>
      </c>
      <c r="E10" s="2" t="s">
        <v>1134</v>
      </c>
      <c r="F10" s="2" t="s">
        <v>480</v>
      </c>
      <c r="G10" s="2" t="s">
        <v>567</v>
      </c>
      <c r="H10" s="2" t="s">
        <v>1135</v>
      </c>
      <c r="I10" s="2" t="s">
        <v>1136</v>
      </c>
      <c r="J10" s="2" t="s">
        <v>213</v>
      </c>
      <c r="K10" s="2" t="s">
        <v>1035</v>
      </c>
      <c r="L10" s="2" t="s">
        <v>564</v>
      </c>
    </row>
    <row r="11" spans="1:12" ht="28">
      <c r="A11" s="2" t="s">
        <v>221</v>
      </c>
      <c r="B11" s="2" t="s">
        <v>1036</v>
      </c>
      <c r="C11" s="2" t="s">
        <v>1093</v>
      </c>
      <c r="D11" s="2" t="s">
        <v>1100</v>
      </c>
      <c r="E11" s="2" t="s">
        <v>1101</v>
      </c>
      <c r="F11" s="2" t="s">
        <v>1102</v>
      </c>
      <c r="G11" s="2" t="s">
        <v>579</v>
      </c>
      <c r="H11" s="2" t="s">
        <v>1137</v>
      </c>
      <c r="I11" s="2" t="s">
        <v>1138</v>
      </c>
      <c r="J11" s="2" t="s">
        <v>213</v>
      </c>
      <c r="K11" s="2" t="s">
        <v>1105</v>
      </c>
      <c r="L11" s="2" t="s">
        <v>582</v>
      </c>
    </row>
    <row r="12" spans="1:12" ht="28">
      <c r="A12" s="2" t="s">
        <v>221</v>
      </c>
      <c r="B12" s="2" t="s">
        <v>1040</v>
      </c>
      <c r="C12" s="2" t="s">
        <v>1093</v>
      </c>
      <c r="D12" s="2" t="s">
        <v>1139</v>
      </c>
      <c r="E12" s="2" t="s">
        <v>655</v>
      </c>
      <c r="F12" s="2" t="s">
        <v>480</v>
      </c>
      <c r="G12" s="2" t="s">
        <v>527</v>
      </c>
      <c r="H12" s="2" t="s">
        <v>1140</v>
      </c>
      <c r="I12" s="2" t="s">
        <v>1141</v>
      </c>
      <c r="J12" s="2" t="s">
        <v>213</v>
      </c>
      <c r="K12" s="2" t="s">
        <v>1035</v>
      </c>
      <c r="L12" s="2" t="s">
        <v>1142</v>
      </c>
    </row>
    <row r="13" spans="1:12" ht="28">
      <c r="A13" s="2" t="s">
        <v>221</v>
      </c>
      <c r="B13" s="2" t="s">
        <v>1040</v>
      </c>
      <c r="C13" s="2" t="s">
        <v>1093</v>
      </c>
      <c r="D13" s="2" t="s">
        <v>1143</v>
      </c>
      <c r="E13" s="2" t="s">
        <v>105</v>
      </c>
      <c r="F13" s="2" t="s">
        <v>480</v>
      </c>
      <c r="G13" s="2" t="s">
        <v>1144</v>
      </c>
      <c r="H13" s="2" t="s">
        <v>1145</v>
      </c>
      <c r="I13" s="2" t="s">
        <v>1146</v>
      </c>
      <c r="J13" s="2" t="s">
        <v>213</v>
      </c>
      <c r="K13" s="2" t="s">
        <v>1035</v>
      </c>
      <c r="L13" s="2" t="s">
        <v>1147</v>
      </c>
    </row>
    <row r="14" spans="1:12" ht="28">
      <c r="A14" s="2" t="s">
        <v>26</v>
      </c>
      <c r="B14" s="2" t="s">
        <v>1044</v>
      </c>
      <c r="C14" s="2" t="s">
        <v>1093</v>
      </c>
      <c r="D14" s="2" t="s">
        <v>1148</v>
      </c>
      <c r="E14" s="2" t="s">
        <v>505</v>
      </c>
      <c r="F14" s="2" t="s">
        <v>480</v>
      </c>
      <c r="G14" s="2" t="s">
        <v>506</v>
      </c>
      <c r="H14" s="2" t="s">
        <v>1149</v>
      </c>
      <c r="I14" s="2" t="s">
        <v>1150</v>
      </c>
      <c r="J14" s="2" t="s">
        <v>213</v>
      </c>
      <c r="K14" s="2" t="s">
        <v>1035</v>
      </c>
      <c r="L14" s="2" t="s">
        <v>564</v>
      </c>
    </row>
    <row r="15" spans="1:12" ht="28">
      <c r="A15" s="2" t="s">
        <v>26</v>
      </c>
      <c r="B15" s="2" t="s">
        <v>1044</v>
      </c>
      <c r="C15" s="2" t="s">
        <v>1093</v>
      </c>
      <c r="D15" s="2" t="s">
        <v>1151</v>
      </c>
      <c r="E15" s="2" t="s">
        <v>1152</v>
      </c>
      <c r="F15" s="2" t="s">
        <v>480</v>
      </c>
      <c r="G15" s="2" t="s">
        <v>1153</v>
      </c>
      <c r="H15" s="2" t="s">
        <v>1154</v>
      </c>
      <c r="I15" s="2" t="s">
        <v>1155</v>
      </c>
      <c r="J15" s="2" t="s">
        <v>213</v>
      </c>
      <c r="K15" s="2" t="s">
        <v>1035</v>
      </c>
      <c r="L15" s="2" t="s">
        <v>1156</v>
      </c>
    </row>
    <row r="16" spans="1:12" ht="70">
      <c r="A16" s="2" t="s">
        <v>26</v>
      </c>
      <c r="B16" s="2" t="s">
        <v>1044</v>
      </c>
      <c r="C16" s="2" t="s">
        <v>1093</v>
      </c>
      <c r="D16" s="2" t="s">
        <v>1157</v>
      </c>
      <c r="E16" s="2" t="s">
        <v>1158</v>
      </c>
      <c r="F16" s="2" t="s">
        <v>1159</v>
      </c>
      <c r="G16" s="2" t="s">
        <v>1160</v>
      </c>
      <c r="H16" s="2" t="s">
        <v>1161</v>
      </c>
      <c r="I16" s="2" t="s">
        <v>1162</v>
      </c>
      <c r="J16" s="2" t="s">
        <v>213</v>
      </c>
      <c r="K16" s="2" t="s">
        <v>1118</v>
      </c>
      <c r="L16" s="2" t="s">
        <v>1163</v>
      </c>
    </row>
    <row r="17" spans="1:12" ht="42">
      <c r="A17" s="2" t="s">
        <v>26</v>
      </c>
      <c r="B17" s="2" t="s">
        <v>1048</v>
      </c>
      <c r="C17" s="2" t="s">
        <v>1164</v>
      </c>
      <c r="D17" s="2" t="s">
        <v>1165</v>
      </c>
      <c r="E17" s="2" t="s">
        <v>505</v>
      </c>
      <c r="F17" s="2" t="s">
        <v>480</v>
      </c>
      <c r="G17" s="2" t="s">
        <v>1166</v>
      </c>
      <c r="H17" s="2" t="s">
        <v>1167</v>
      </c>
      <c r="I17" s="2" t="s">
        <v>1168</v>
      </c>
      <c r="J17" s="2" t="s">
        <v>213</v>
      </c>
      <c r="K17" s="2" t="s">
        <v>1035</v>
      </c>
      <c r="L17" s="2" t="s">
        <v>609</v>
      </c>
    </row>
    <row r="18" spans="1:12" ht="56">
      <c r="A18" s="2" t="s">
        <v>26</v>
      </c>
      <c r="B18" s="2" t="s">
        <v>1048</v>
      </c>
      <c r="C18" s="2" t="s">
        <v>1169</v>
      </c>
      <c r="D18" s="2" t="s">
        <v>1112</v>
      </c>
      <c r="E18" s="2" t="s">
        <v>1170</v>
      </c>
      <c r="F18" s="2" t="s">
        <v>1159</v>
      </c>
      <c r="G18" s="2" t="s">
        <v>1171</v>
      </c>
      <c r="H18" s="2" t="s">
        <v>1172</v>
      </c>
      <c r="I18" s="2" t="s">
        <v>1173</v>
      </c>
      <c r="J18" s="2" t="s">
        <v>213</v>
      </c>
      <c r="K18" s="2" t="s">
        <v>1118</v>
      </c>
      <c r="L18" s="2" t="s">
        <v>1174</v>
      </c>
    </row>
    <row r="19" spans="1:12" ht="56">
      <c r="A19" s="2" t="s">
        <v>26</v>
      </c>
      <c r="B19" s="2" t="s">
        <v>1048</v>
      </c>
      <c r="C19" s="2" t="s">
        <v>1175</v>
      </c>
      <c r="D19" s="2" t="s">
        <v>1176</v>
      </c>
      <c r="E19" s="2" t="s">
        <v>1177</v>
      </c>
      <c r="F19" s="2" t="s">
        <v>1178</v>
      </c>
      <c r="G19" s="2" t="s">
        <v>1179</v>
      </c>
      <c r="H19" s="2" t="s">
        <v>1180</v>
      </c>
      <c r="I19" s="2" t="s">
        <v>1181</v>
      </c>
      <c r="J19" s="2" t="s">
        <v>213</v>
      </c>
      <c r="K19" s="2" t="s">
        <v>1118</v>
      </c>
      <c r="L19" s="2" t="s">
        <v>1182</v>
      </c>
    </row>
    <row r="20" spans="1:12" ht="28">
      <c r="A20" s="2" t="s">
        <v>26</v>
      </c>
      <c r="B20" s="2" t="s">
        <v>1052</v>
      </c>
      <c r="C20" s="2" t="s">
        <v>1093</v>
      </c>
      <c r="D20" s="2" t="s">
        <v>1130</v>
      </c>
      <c r="E20" s="2" t="s">
        <v>505</v>
      </c>
      <c r="F20" s="2" t="s">
        <v>480</v>
      </c>
      <c r="G20" s="2" t="s">
        <v>506</v>
      </c>
      <c r="H20" s="2" t="s">
        <v>1183</v>
      </c>
      <c r="I20" s="2" t="s">
        <v>1184</v>
      </c>
      <c r="J20" s="2" t="s">
        <v>213</v>
      </c>
      <c r="K20" s="2" t="s">
        <v>1035</v>
      </c>
      <c r="L20" s="2" t="s">
        <v>1110</v>
      </c>
    </row>
    <row r="21" spans="1:12" ht="28">
      <c r="A21" s="2" t="s">
        <v>26</v>
      </c>
      <c r="B21" s="2" t="s">
        <v>1052</v>
      </c>
      <c r="C21" s="2" t="s">
        <v>1093</v>
      </c>
      <c r="D21" s="2" t="s">
        <v>1185</v>
      </c>
      <c r="E21" s="2" t="s">
        <v>655</v>
      </c>
      <c r="F21" s="2" t="s">
        <v>480</v>
      </c>
      <c r="G21" s="2" t="s">
        <v>527</v>
      </c>
      <c r="H21" s="2" t="s">
        <v>1186</v>
      </c>
      <c r="I21" s="2" t="s">
        <v>1187</v>
      </c>
      <c r="J21" s="2" t="s">
        <v>213</v>
      </c>
      <c r="K21" s="2" t="s">
        <v>1035</v>
      </c>
      <c r="L21" s="2" t="s">
        <v>564</v>
      </c>
    </row>
    <row r="22" spans="1:12" ht="28">
      <c r="A22" s="2" t="s">
        <v>26</v>
      </c>
      <c r="B22" s="2" t="s">
        <v>1056</v>
      </c>
      <c r="C22" s="2" t="s">
        <v>1188</v>
      </c>
      <c r="D22" s="2" t="s">
        <v>1189</v>
      </c>
      <c r="E22" s="2" t="s">
        <v>655</v>
      </c>
      <c r="F22" s="2" t="s">
        <v>480</v>
      </c>
      <c r="G22" s="2" t="s">
        <v>527</v>
      </c>
      <c r="H22" s="2" t="s">
        <v>1190</v>
      </c>
      <c r="I22" s="2" t="s">
        <v>1191</v>
      </c>
      <c r="J22" s="2" t="s">
        <v>213</v>
      </c>
      <c r="K22" s="2" t="s">
        <v>1035</v>
      </c>
      <c r="L22" s="2" t="s">
        <v>1192</v>
      </c>
    </row>
    <row r="23" spans="1:12" ht="42">
      <c r="A23" s="2" t="s">
        <v>26</v>
      </c>
      <c r="B23" s="2" t="s">
        <v>1056</v>
      </c>
      <c r="C23" s="2" t="s">
        <v>1193</v>
      </c>
      <c r="D23" s="2" t="s">
        <v>1194</v>
      </c>
      <c r="E23" s="2" t="s">
        <v>1195</v>
      </c>
      <c r="F23" s="2" t="s">
        <v>1196</v>
      </c>
      <c r="G23" s="2" t="s">
        <v>1197</v>
      </c>
      <c r="H23" s="2" t="s">
        <v>1198</v>
      </c>
      <c r="I23" s="2" t="s">
        <v>1199</v>
      </c>
      <c r="J23" s="2" t="s">
        <v>213</v>
      </c>
      <c r="K23" s="2" t="s">
        <v>1118</v>
      </c>
      <c r="L23" s="2" t="s">
        <v>1200</v>
      </c>
    </row>
    <row r="24" spans="1:12" ht="28">
      <c r="A24" s="2" t="s">
        <v>26</v>
      </c>
      <c r="B24" s="2" t="s">
        <v>510</v>
      </c>
      <c r="C24" s="2" t="s">
        <v>1093</v>
      </c>
      <c r="D24" s="2" t="s">
        <v>1201</v>
      </c>
      <c r="E24" s="2" t="s">
        <v>512</v>
      </c>
      <c r="F24" s="2" t="s">
        <v>1102</v>
      </c>
      <c r="G24" s="2" t="s">
        <v>514</v>
      </c>
      <c r="H24" s="2" t="s">
        <v>1202</v>
      </c>
      <c r="I24" s="2" t="s">
        <v>1203</v>
      </c>
      <c r="J24" s="2" t="s">
        <v>213</v>
      </c>
      <c r="K24" s="2" t="s">
        <v>1105</v>
      </c>
      <c r="L24" s="2" t="s">
        <v>1204</v>
      </c>
    </row>
    <row r="25" spans="1:12" ht="42">
      <c r="A25" s="2" t="s">
        <v>26</v>
      </c>
      <c r="B25" s="2" t="s">
        <v>510</v>
      </c>
      <c r="C25" s="2" t="s">
        <v>1093</v>
      </c>
      <c r="D25" s="2" t="s">
        <v>1205</v>
      </c>
      <c r="E25" s="2" t="s">
        <v>505</v>
      </c>
      <c r="F25" s="2" t="s">
        <v>480</v>
      </c>
      <c r="G25" s="2" t="s">
        <v>1166</v>
      </c>
      <c r="H25" s="2" t="s">
        <v>1206</v>
      </c>
      <c r="I25" s="2" t="s">
        <v>1207</v>
      </c>
      <c r="J25" s="2" t="s">
        <v>213</v>
      </c>
      <c r="K25" s="2" t="s">
        <v>1035</v>
      </c>
      <c r="L25" s="2" t="s">
        <v>564</v>
      </c>
    </row>
    <row r="26" spans="1:12" ht="28">
      <c r="A26" s="2" t="s">
        <v>262</v>
      </c>
      <c r="B26" s="2" t="s">
        <v>1063</v>
      </c>
      <c r="C26" s="2" t="s">
        <v>1208</v>
      </c>
      <c r="D26" s="2" t="s">
        <v>1165</v>
      </c>
      <c r="E26" s="2" t="s">
        <v>505</v>
      </c>
      <c r="F26" s="2" t="s">
        <v>480</v>
      </c>
      <c r="G26" s="2" t="s">
        <v>499</v>
      </c>
      <c r="H26" s="2" t="s">
        <v>1209</v>
      </c>
      <c r="I26" s="2" t="s">
        <v>1210</v>
      </c>
      <c r="J26" s="2" t="s">
        <v>213</v>
      </c>
      <c r="K26" s="2" t="s">
        <v>1035</v>
      </c>
      <c r="L26" s="2" t="s">
        <v>564</v>
      </c>
    </row>
    <row r="27" spans="1:12" ht="56">
      <c r="A27" s="2" t="s">
        <v>262</v>
      </c>
      <c r="B27" s="2" t="s">
        <v>1063</v>
      </c>
      <c r="C27" s="2" t="s">
        <v>1208</v>
      </c>
      <c r="D27" s="2" t="s">
        <v>1211</v>
      </c>
      <c r="E27" s="2" t="s">
        <v>1177</v>
      </c>
      <c r="F27" s="2" t="s">
        <v>1178</v>
      </c>
      <c r="G27" s="2" t="s">
        <v>1179</v>
      </c>
      <c r="H27" s="2" t="s">
        <v>1212</v>
      </c>
      <c r="I27" s="2" t="s">
        <v>1213</v>
      </c>
      <c r="J27" s="2" t="s">
        <v>213</v>
      </c>
      <c r="K27" s="2" t="s">
        <v>1118</v>
      </c>
      <c r="L27" s="2" t="s">
        <v>1214</v>
      </c>
    </row>
    <row r="28" spans="1:12" ht="28">
      <c r="A28" s="2" t="s">
        <v>262</v>
      </c>
      <c r="B28" s="2" t="s">
        <v>1063</v>
      </c>
      <c r="C28" s="2" t="s">
        <v>1208</v>
      </c>
      <c r="D28" s="2" t="s">
        <v>1215</v>
      </c>
      <c r="E28" s="2" t="s">
        <v>1216</v>
      </c>
      <c r="F28" s="2" t="s">
        <v>480</v>
      </c>
      <c r="G28" s="2" t="s">
        <v>1217</v>
      </c>
      <c r="H28" s="2" t="s">
        <v>1218</v>
      </c>
      <c r="I28" s="2" t="s">
        <v>1219</v>
      </c>
      <c r="J28" s="2" t="s">
        <v>213</v>
      </c>
      <c r="K28" s="2" t="s">
        <v>1035</v>
      </c>
      <c r="L28" s="2" t="s">
        <v>609</v>
      </c>
    </row>
    <row r="29" spans="1:12" ht="28">
      <c r="A29" s="2" t="s">
        <v>262</v>
      </c>
      <c r="B29" s="2" t="s">
        <v>1067</v>
      </c>
      <c r="C29" s="2" t="s">
        <v>1093</v>
      </c>
      <c r="D29" s="2" t="s">
        <v>1220</v>
      </c>
      <c r="E29" s="2" t="s">
        <v>1221</v>
      </c>
      <c r="F29" s="2" t="s">
        <v>480</v>
      </c>
      <c r="G29" s="2" t="s">
        <v>499</v>
      </c>
      <c r="H29" s="2" t="s">
        <v>1222</v>
      </c>
      <c r="I29" s="2" t="s">
        <v>1223</v>
      </c>
      <c r="J29" s="2" t="s">
        <v>213</v>
      </c>
      <c r="K29" s="2" t="s">
        <v>1035</v>
      </c>
      <c r="L29" s="2" t="s">
        <v>564</v>
      </c>
    </row>
    <row r="30" spans="1:12" ht="42">
      <c r="A30" s="2" t="s">
        <v>262</v>
      </c>
      <c r="B30" s="2" t="s">
        <v>1067</v>
      </c>
      <c r="C30" s="2" t="s">
        <v>1093</v>
      </c>
      <c r="D30" s="2" t="s">
        <v>1224</v>
      </c>
      <c r="E30" s="2" t="s">
        <v>1225</v>
      </c>
      <c r="F30" s="2" t="s">
        <v>1196</v>
      </c>
      <c r="G30" s="2" t="s">
        <v>1226</v>
      </c>
      <c r="H30" s="2" t="s">
        <v>1227</v>
      </c>
      <c r="I30" s="2" t="s">
        <v>1228</v>
      </c>
      <c r="J30" s="2" t="s">
        <v>213</v>
      </c>
      <c r="K30" s="2" t="s">
        <v>1084</v>
      </c>
      <c r="L30" s="2" t="s">
        <v>1229</v>
      </c>
    </row>
    <row r="31" spans="1:12" ht="28">
      <c r="A31" s="2" t="s">
        <v>262</v>
      </c>
      <c r="B31" s="2" t="s">
        <v>1067</v>
      </c>
      <c r="C31" s="2" t="s">
        <v>1093</v>
      </c>
      <c r="D31" s="2" t="s">
        <v>1230</v>
      </c>
      <c r="E31" s="2" t="s">
        <v>1216</v>
      </c>
      <c r="F31" s="2" t="s">
        <v>480</v>
      </c>
      <c r="G31" s="2" t="s">
        <v>1217</v>
      </c>
      <c r="H31" s="2" t="s">
        <v>1231</v>
      </c>
      <c r="I31" s="2" t="s">
        <v>1232</v>
      </c>
      <c r="J31" s="2" t="s">
        <v>213</v>
      </c>
      <c r="K31" s="2" t="s">
        <v>1035</v>
      </c>
      <c r="L31" s="2" t="s">
        <v>564</v>
      </c>
    </row>
    <row r="32" spans="1:12" ht="28">
      <c r="A32" s="2" t="s">
        <v>262</v>
      </c>
      <c r="B32" s="2" t="s">
        <v>1072</v>
      </c>
      <c r="C32" s="2" t="s">
        <v>1093</v>
      </c>
      <c r="D32" s="2" t="s">
        <v>543</v>
      </c>
      <c r="E32" s="2" t="s">
        <v>1221</v>
      </c>
      <c r="F32" s="2" t="s">
        <v>480</v>
      </c>
      <c r="G32" s="2" t="s">
        <v>499</v>
      </c>
      <c r="H32" s="2" t="s">
        <v>1233</v>
      </c>
      <c r="I32" s="2" t="s">
        <v>1234</v>
      </c>
      <c r="J32" s="2" t="s">
        <v>213</v>
      </c>
      <c r="K32" s="2" t="s">
        <v>1035</v>
      </c>
      <c r="L32" s="2" t="s">
        <v>609</v>
      </c>
    </row>
    <row r="33" spans="1:12" ht="42">
      <c r="A33" s="2" t="s">
        <v>262</v>
      </c>
      <c r="B33" s="2" t="s">
        <v>1072</v>
      </c>
      <c r="C33" s="2" t="s">
        <v>1093</v>
      </c>
      <c r="D33" s="2" t="s">
        <v>1224</v>
      </c>
      <c r="E33" s="2" t="s">
        <v>1225</v>
      </c>
      <c r="F33" s="2" t="s">
        <v>1196</v>
      </c>
      <c r="G33" s="2" t="s">
        <v>1226</v>
      </c>
      <c r="H33" s="2" t="s">
        <v>1235</v>
      </c>
      <c r="I33" s="2" t="s">
        <v>1236</v>
      </c>
      <c r="J33" s="2" t="s">
        <v>213</v>
      </c>
      <c r="K33" s="2" t="s">
        <v>1084</v>
      </c>
      <c r="L33" s="2" t="s">
        <v>1237</v>
      </c>
    </row>
    <row r="34" spans="1:12" ht="28">
      <c r="A34" s="2" t="s">
        <v>262</v>
      </c>
      <c r="B34" s="2" t="s">
        <v>1072</v>
      </c>
      <c r="C34" s="2" t="s">
        <v>1093</v>
      </c>
      <c r="D34" s="2" t="s">
        <v>1143</v>
      </c>
      <c r="E34" s="2" t="s">
        <v>32</v>
      </c>
      <c r="F34" s="2" t="s">
        <v>480</v>
      </c>
      <c r="G34" s="2" t="s">
        <v>1238</v>
      </c>
      <c r="H34" s="2" t="s">
        <v>1239</v>
      </c>
      <c r="I34" s="2" t="s">
        <v>1240</v>
      </c>
      <c r="J34" s="2" t="s">
        <v>213</v>
      </c>
      <c r="K34" s="2" t="s">
        <v>1035</v>
      </c>
      <c r="L34" s="2" t="s">
        <v>1241</v>
      </c>
    </row>
    <row r="35" spans="1:12" ht="28">
      <c r="A35" s="2" t="s">
        <v>262</v>
      </c>
      <c r="B35" s="2" t="s">
        <v>1072</v>
      </c>
      <c r="C35" s="2" t="s">
        <v>1093</v>
      </c>
      <c r="D35" s="2" t="s">
        <v>1242</v>
      </c>
      <c r="E35" s="2" t="s">
        <v>1243</v>
      </c>
      <c r="F35" s="2" t="s">
        <v>480</v>
      </c>
      <c r="G35" s="2" t="s">
        <v>1244</v>
      </c>
      <c r="H35" s="2" t="s">
        <v>1245</v>
      </c>
      <c r="I35" s="2" t="s">
        <v>1246</v>
      </c>
      <c r="J35" s="2" t="s">
        <v>213</v>
      </c>
      <c r="K35" s="2" t="s">
        <v>1035</v>
      </c>
      <c r="L35" s="2" t="s">
        <v>1247</v>
      </c>
    </row>
    <row r="36" spans="1:12" ht="28">
      <c r="A36" s="2" t="s">
        <v>262</v>
      </c>
      <c r="B36" s="2" t="s">
        <v>1076</v>
      </c>
      <c r="C36" s="2" t="s">
        <v>1093</v>
      </c>
      <c r="D36" s="2" t="s">
        <v>1220</v>
      </c>
      <c r="E36" s="2" t="s">
        <v>1221</v>
      </c>
      <c r="F36" s="2" t="s">
        <v>480</v>
      </c>
      <c r="G36" s="2" t="s">
        <v>499</v>
      </c>
      <c r="H36" s="2" t="s">
        <v>1248</v>
      </c>
      <c r="I36" s="2" t="s">
        <v>1249</v>
      </c>
      <c r="J36" s="2" t="s">
        <v>213</v>
      </c>
      <c r="K36" s="2" t="s">
        <v>1035</v>
      </c>
      <c r="L36" s="2" t="s">
        <v>564</v>
      </c>
    </row>
    <row r="37" spans="1:12" ht="28">
      <c r="A37" s="2" t="s">
        <v>262</v>
      </c>
      <c r="B37" s="2" t="s">
        <v>1076</v>
      </c>
      <c r="C37" s="2" t="s">
        <v>1093</v>
      </c>
      <c r="D37" s="2" t="s">
        <v>1250</v>
      </c>
      <c r="E37" s="2" t="s">
        <v>1251</v>
      </c>
      <c r="F37" s="2" t="s">
        <v>1196</v>
      </c>
      <c r="G37" s="2" t="s">
        <v>1252</v>
      </c>
      <c r="H37" s="2" t="s">
        <v>1253</v>
      </c>
      <c r="I37" s="2" t="s">
        <v>1254</v>
      </c>
      <c r="J37" s="2" t="s">
        <v>213</v>
      </c>
      <c r="K37" s="2" t="s">
        <v>1084</v>
      </c>
      <c r="L37" s="2" t="s">
        <v>1237</v>
      </c>
    </row>
    <row r="38" spans="1:12" ht="42">
      <c r="A38" s="2" t="s">
        <v>262</v>
      </c>
      <c r="B38" s="2" t="s">
        <v>1080</v>
      </c>
      <c r="C38" s="2" t="s">
        <v>1093</v>
      </c>
      <c r="D38" s="2" t="s">
        <v>1255</v>
      </c>
      <c r="E38" s="2" t="s">
        <v>1256</v>
      </c>
      <c r="F38" s="2" t="s">
        <v>1196</v>
      </c>
      <c r="G38" s="2" t="s">
        <v>1257</v>
      </c>
      <c r="H38" s="2" t="s">
        <v>1258</v>
      </c>
      <c r="I38" s="2" t="s">
        <v>1259</v>
      </c>
      <c r="J38" s="2" t="s">
        <v>213</v>
      </c>
      <c r="K38" s="2" t="s">
        <v>1084</v>
      </c>
      <c r="L38" s="2" t="s">
        <v>1260</v>
      </c>
    </row>
    <row r="39" spans="1:12" ht="28">
      <c r="A39" s="2" t="s">
        <v>262</v>
      </c>
      <c r="B39" s="2" t="s">
        <v>1080</v>
      </c>
      <c r="C39" s="2" t="s">
        <v>1093</v>
      </c>
      <c r="D39" s="2" t="s">
        <v>1261</v>
      </c>
      <c r="E39" s="2" t="s">
        <v>1251</v>
      </c>
      <c r="F39" s="2" t="s">
        <v>1196</v>
      </c>
      <c r="G39" s="2" t="s">
        <v>1252</v>
      </c>
      <c r="H39" s="2" t="s">
        <v>1262</v>
      </c>
      <c r="I39" s="2" t="s">
        <v>1263</v>
      </c>
      <c r="J39" s="2" t="s">
        <v>213</v>
      </c>
      <c r="K39" s="2" t="s">
        <v>1084</v>
      </c>
      <c r="L39" s="2" t="s">
        <v>609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4" customWidth="1"/>
    <col min="2" max="2" width="110" customWidth="1"/>
  </cols>
  <sheetData>
    <row r="1" spans="1:2">
      <c r="A1" s="10" t="s">
        <v>778</v>
      </c>
      <c r="B1" s="10" t="s">
        <v>779</v>
      </c>
    </row>
    <row r="2" spans="1:2">
      <c r="A2" s="2" t="s">
        <v>1264</v>
      </c>
      <c r="B2" s="2" t="s">
        <v>1265</v>
      </c>
    </row>
    <row r="3" spans="1:2">
      <c r="A3" s="2" t="s">
        <v>1266</v>
      </c>
      <c r="B3" s="2" t="s">
        <v>1267</v>
      </c>
    </row>
    <row r="4" spans="1:2" ht="28">
      <c r="A4" s="2" t="s">
        <v>1268</v>
      </c>
      <c r="B4" s="2" t="s">
        <v>1269</v>
      </c>
    </row>
    <row r="5" spans="1:2">
      <c r="A5" s="2" t="s">
        <v>955</v>
      </c>
      <c r="B5" s="2" t="s">
        <v>1270</v>
      </c>
    </row>
    <row r="6" spans="1:2">
      <c r="A6" s="2" t="s">
        <v>1271</v>
      </c>
      <c r="B6" s="2" t="s">
        <v>1272</v>
      </c>
    </row>
    <row r="7" spans="1:2" ht="28">
      <c r="A7" s="2" t="s">
        <v>1273</v>
      </c>
      <c r="B7" s="2" t="s">
        <v>1274</v>
      </c>
    </row>
    <row r="8" spans="1:2" ht="28">
      <c r="A8" s="2" t="s">
        <v>1275</v>
      </c>
      <c r="B8" s="2" t="s">
        <v>1276</v>
      </c>
    </row>
    <row r="9" spans="1:2" ht="28">
      <c r="A9" s="2" t="s">
        <v>1277</v>
      </c>
      <c r="B9" s="2" t="s">
        <v>1278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3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30" customWidth="1"/>
    <col min="3" max="3" width="28" customWidth="1"/>
    <col min="4" max="4" width="38" customWidth="1"/>
    <col min="5" max="5" width="16" customWidth="1"/>
    <col min="6" max="6" width="22" customWidth="1"/>
    <col min="7" max="7" width="14" customWidth="1"/>
    <col min="8" max="8" width="58" customWidth="1"/>
    <col min="9" max="9" width="24" customWidth="1"/>
    <col min="10" max="10" width="52" customWidth="1"/>
    <col min="11" max="11" width="50" customWidth="1"/>
  </cols>
  <sheetData>
    <row r="1" spans="1:11">
      <c r="A1" s="13" t="s">
        <v>1009</v>
      </c>
      <c r="B1" s="13" t="s">
        <v>1010</v>
      </c>
      <c r="C1" s="13" t="s">
        <v>1279</v>
      </c>
      <c r="D1" s="13" t="s">
        <v>1280</v>
      </c>
      <c r="E1" s="13" t="s">
        <v>1281</v>
      </c>
      <c r="F1" s="13" t="s">
        <v>1282</v>
      </c>
      <c r="G1" s="13" t="s">
        <v>1283</v>
      </c>
      <c r="H1" s="13" t="s">
        <v>191</v>
      </c>
      <c r="I1" s="13" t="s">
        <v>800</v>
      </c>
      <c r="J1" s="13" t="s">
        <v>1284</v>
      </c>
      <c r="K1" s="13" t="s">
        <v>802</v>
      </c>
    </row>
    <row r="2" spans="1:11">
      <c r="A2" s="2" t="s">
        <v>221</v>
      </c>
      <c r="B2" s="2" t="s">
        <v>1040</v>
      </c>
      <c r="C2" s="2" t="s">
        <v>1285</v>
      </c>
      <c r="D2" s="2" t="s">
        <v>1286</v>
      </c>
      <c r="E2" s="2">
        <v>1</v>
      </c>
      <c r="F2" s="2" t="s">
        <v>1287</v>
      </c>
      <c r="G2" s="2" t="s">
        <v>81</v>
      </c>
      <c r="H2" s="2" t="s">
        <v>1288</v>
      </c>
      <c r="I2" s="2" t="s">
        <v>1289</v>
      </c>
      <c r="J2" s="2" t="s">
        <v>1290</v>
      </c>
      <c r="K2" s="2" t="s">
        <v>1291</v>
      </c>
    </row>
    <row r="3" spans="1:11" ht="28">
      <c r="A3" s="2" t="s">
        <v>221</v>
      </c>
      <c r="B3" s="2" t="s">
        <v>1040</v>
      </c>
      <c r="C3" s="2" t="s">
        <v>1285</v>
      </c>
      <c r="D3" s="2" t="s">
        <v>1292</v>
      </c>
      <c r="E3" s="2">
        <v>1</v>
      </c>
      <c r="F3" s="2" t="s">
        <v>1293</v>
      </c>
      <c r="G3" s="2" t="s">
        <v>81</v>
      </c>
      <c r="H3" s="2" t="s">
        <v>1294</v>
      </c>
      <c r="I3" s="2" t="s">
        <v>1289</v>
      </c>
      <c r="J3" s="2" t="s">
        <v>1295</v>
      </c>
      <c r="K3" s="2" t="s">
        <v>1296</v>
      </c>
    </row>
    <row r="4" spans="1:11" ht="28">
      <c r="A4" s="2" t="s">
        <v>221</v>
      </c>
      <c r="B4" s="2" t="s">
        <v>1019</v>
      </c>
      <c r="C4" s="2" t="s">
        <v>1297</v>
      </c>
      <c r="D4" s="2" t="s">
        <v>1298</v>
      </c>
      <c r="E4" s="2">
        <v>1</v>
      </c>
      <c r="F4" s="2" t="s">
        <v>1299</v>
      </c>
      <c r="G4" s="2" t="s">
        <v>1300</v>
      </c>
      <c r="H4" s="2" t="s">
        <v>1301</v>
      </c>
      <c r="I4" s="2" t="s">
        <v>1302</v>
      </c>
      <c r="J4" s="2" t="s">
        <v>1303</v>
      </c>
      <c r="K4" s="2" t="s">
        <v>1304</v>
      </c>
    </row>
    <row r="5" spans="1:11" ht="28">
      <c r="A5" s="2" t="s">
        <v>221</v>
      </c>
      <c r="B5" s="2" t="s">
        <v>1026</v>
      </c>
      <c r="C5" s="2" t="s">
        <v>1297</v>
      </c>
      <c r="D5" s="2" t="s">
        <v>1298</v>
      </c>
      <c r="E5" s="2">
        <v>1</v>
      </c>
      <c r="F5" s="2" t="s">
        <v>1299</v>
      </c>
      <c r="G5" s="2" t="s">
        <v>1300</v>
      </c>
      <c r="H5" s="2" t="s">
        <v>1301</v>
      </c>
      <c r="I5" s="2" t="s">
        <v>1302</v>
      </c>
      <c r="J5" s="2" t="s">
        <v>1305</v>
      </c>
      <c r="K5" s="2" t="s">
        <v>1306</v>
      </c>
    </row>
    <row r="6" spans="1:11" ht="28">
      <c r="A6" s="2" t="s">
        <v>221</v>
      </c>
      <c r="B6" s="2" t="s">
        <v>1031</v>
      </c>
      <c r="C6" s="2" t="s">
        <v>1297</v>
      </c>
      <c r="D6" s="2" t="s">
        <v>1298</v>
      </c>
      <c r="E6" s="2">
        <v>1</v>
      </c>
      <c r="F6" s="2" t="s">
        <v>1299</v>
      </c>
      <c r="G6" s="2" t="s">
        <v>1300</v>
      </c>
      <c r="H6" s="2" t="s">
        <v>1301</v>
      </c>
      <c r="I6" s="2" t="s">
        <v>1302</v>
      </c>
      <c r="J6" s="2" t="s">
        <v>1307</v>
      </c>
      <c r="K6" s="2" t="s">
        <v>669</v>
      </c>
    </row>
    <row r="7" spans="1:11" ht="28">
      <c r="A7" s="2" t="s">
        <v>221</v>
      </c>
      <c r="B7" s="2" t="s">
        <v>1036</v>
      </c>
      <c r="C7" s="2" t="s">
        <v>1297</v>
      </c>
      <c r="D7" s="2" t="s">
        <v>1298</v>
      </c>
      <c r="E7" s="2">
        <v>1</v>
      </c>
      <c r="F7" s="2" t="s">
        <v>1299</v>
      </c>
      <c r="G7" s="2" t="s">
        <v>1300</v>
      </c>
      <c r="H7" s="2" t="s">
        <v>1301</v>
      </c>
      <c r="I7" s="2" t="s">
        <v>1302</v>
      </c>
      <c r="J7" s="2" t="s">
        <v>1307</v>
      </c>
      <c r="K7" s="2" t="s">
        <v>669</v>
      </c>
    </row>
    <row r="8" spans="1:11" ht="28">
      <c r="A8" s="2" t="s">
        <v>221</v>
      </c>
      <c r="B8" s="2" t="s">
        <v>1040</v>
      </c>
      <c r="C8" s="2" t="s">
        <v>1297</v>
      </c>
      <c r="D8" s="2" t="s">
        <v>1298</v>
      </c>
      <c r="E8" s="2">
        <v>1</v>
      </c>
      <c r="F8" s="2" t="s">
        <v>1299</v>
      </c>
      <c r="G8" s="2" t="s">
        <v>1300</v>
      </c>
      <c r="H8" s="2" t="s">
        <v>1301</v>
      </c>
      <c r="I8" s="2" t="s">
        <v>1302</v>
      </c>
      <c r="J8" s="2" t="s">
        <v>1307</v>
      </c>
      <c r="K8" s="2" t="s">
        <v>669</v>
      </c>
    </row>
    <row r="9" spans="1:11" ht="28">
      <c r="A9" s="2" t="s">
        <v>221</v>
      </c>
      <c r="B9" s="2" t="s">
        <v>1036</v>
      </c>
      <c r="C9" s="2" t="s">
        <v>1308</v>
      </c>
      <c r="D9" s="2" t="s">
        <v>1309</v>
      </c>
      <c r="E9" s="2">
        <v>2</v>
      </c>
      <c r="F9" s="2" t="s">
        <v>1310</v>
      </c>
      <c r="G9" s="2" t="s">
        <v>81</v>
      </c>
      <c r="H9" s="2" t="s">
        <v>1311</v>
      </c>
      <c r="I9" s="2" t="s">
        <v>1312</v>
      </c>
      <c r="J9" s="2" t="s">
        <v>1313</v>
      </c>
      <c r="K9" s="2" t="s">
        <v>1314</v>
      </c>
    </row>
    <row r="10" spans="1:11" ht="28">
      <c r="A10" s="2" t="s">
        <v>221</v>
      </c>
      <c r="B10" s="2" t="s">
        <v>1031</v>
      </c>
      <c r="C10" s="2" t="s">
        <v>1308</v>
      </c>
      <c r="D10" s="2" t="s">
        <v>1315</v>
      </c>
      <c r="E10" s="2">
        <v>2</v>
      </c>
      <c r="F10" s="2" t="s">
        <v>1316</v>
      </c>
      <c r="G10" s="2" t="s">
        <v>32</v>
      </c>
      <c r="H10" s="2" t="s">
        <v>1317</v>
      </c>
      <c r="I10" s="2" t="s">
        <v>1312</v>
      </c>
      <c r="J10" s="2" t="s">
        <v>1318</v>
      </c>
      <c r="K10" s="2" t="s">
        <v>1319</v>
      </c>
    </row>
    <row r="11" spans="1:11">
      <c r="A11" s="2" t="s">
        <v>221</v>
      </c>
      <c r="B11" s="2" t="s">
        <v>1026</v>
      </c>
      <c r="C11" s="2" t="s">
        <v>1320</v>
      </c>
      <c r="D11" s="2" t="s">
        <v>1321</v>
      </c>
      <c r="E11" s="2">
        <v>102</v>
      </c>
      <c r="F11" s="2" t="s">
        <v>1322</v>
      </c>
      <c r="G11" s="2" t="s">
        <v>81</v>
      </c>
      <c r="H11" s="2" t="s">
        <v>1323</v>
      </c>
      <c r="I11" s="2" t="s">
        <v>1324</v>
      </c>
      <c r="J11" s="2" t="s">
        <v>1325</v>
      </c>
      <c r="K11" s="2" t="s">
        <v>1326</v>
      </c>
    </row>
    <row r="12" spans="1:11" ht="28">
      <c r="A12" s="2" t="s">
        <v>26</v>
      </c>
      <c r="B12" s="2" t="s">
        <v>1044</v>
      </c>
      <c r="C12" s="2" t="s">
        <v>1327</v>
      </c>
      <c r="D12" s="2" t="s">
        <v>1328</v>
      </c>
      <c r="E12" s="2">
        <v>1</v>
      </c>
      <c r="F12" s="2" t="s">
        <v>1329</v>
      </c>
      <c r="G12" s="2" t="s">
        <v>1300</v>
      </c>
      <c r="H12" s="2" t="s">
        <v>1330</v>
      </c>
      <c r="I12" s="2" t="s">
        <v>1331</v>
      </c>
      <c r="J12" s="2" t="s">
        <v>1332</v>
      </c>
      <c r="K12" s="2" t="s">
        <v>1333</v>
      </c>
    </row>
    <row r="13" spans="1:11" ht="28">
      <c r="A13" s="2" t="s">
        <v>26</v>
      </c>
      <c r="B13" s="2" t="s">
        <v>1052</v>
      </c>
      <c r="C13" s="2" t="s">
        <v>1320</v>
      </c>
      <c r="D13" s="2" t="s">
        <v>1334</v>
      </c>
      <c r="E13" s="2">
        <v>160</v>
      </c>
      <c r="F13" s="2" t="s">
        <v>1322</v>
      </c>
      <c r="G13" s="2" t="s">
        <v>81</v>
      </c>
      <c r="H13" s="2" t="s">
        <v>1335</v>
      </c>
      <c r="I13" s="2" t="s">
        <v>1324</v>
      </c>
      <c r="J13" s="2" t="s">
        <v>1336</v>
      </c>
      <c r="K13" s="2" t="s">
        <v>1337</v>
      </c>
    </row>
    <row r="14" spans="1:11">
      <c r="A14" s="2" t="s">
        <v>26</v>
      </c>
      <c r="B14" s="2" t="s">
        <v>1052</v>
      </c>
      <c r="C14" s="2" t="s">
        <v>1320</v>
      </c>
      <c r="D14" s="2" t="s">
        <v>1334</v>
      </c>
      <c r="E14" s="2">
        <v>60000</v>
      </c>
      <c r="F14" s="2" t="s">
        <v>1338</v>
      </c>
      <c r="G14" s="2" t="s">
        <v>81</v>
      </c>
      <c r="H14" s="2" t="s">
        <v>1335</v>
      </c>
      <c r="I14" s="2" t="s">
        <v>1324</v>
      </c>
      <c r="J14" s="2" t="s">
        <v>1339</v>
      </c>
      <c r="K14" s="2" t="s">
        <v>1340</v>
      </c>
    </row>
    <row r="15" spans="1:11">
      <c r="A15" s="2" t="s">
        <v>26</v>
      </c>
      <c r="B15" s="2" t="s">
        <v>1052</v>
      </c>
      <c r="C15" s="2" t="s">
        <v>1341</v>
      </c>
      <c r="D15" s="2" t="s">
        <v>1334</v>
      </c>
      <c r="E15" s="2">
        <v>4000</v>
      </c>
      <c r="F15" s="2" t="s">
        <v>1342</v>
      </c>
      <c r="G15" s="2" t="s">
        <v>81</v>
      </c>
      <c r="H15" s="2" t="s">
        <v>1335</v>
      </c>
      <c r="I15" s="2" t="s">
        <v>1324</v>
      </c>
      <c r="J15" s="2" t="s">
        <v>1343</v>
      </c>
      <c r="K15" s="2" t="s">
        <v>1344</v>
      </c>
    </row>
    <row r="16" spans="1:11">
      <c r="A16" s="2" t="s">
        <v>26</v>
      </c>
      <c r="B16" s="2" t="s">
        <v>1052</v>
      </c>
      <c r="C16" s="2" t="s">
        <v>1341</v>
      </c>
      <c r="D16" s="2" t="s">
        <v>1334</v>
      </c>
      <c r="E16" s="2">
        <v>1500</v>
      </c>
      <c r="F16" s="2" t="s">
        <v>1345</v>
      </c>
      <c r="G16" s="2" t="s">
        <v>81</v>
      </c>
      <c r="H16" s="2" t="s">
        <v>1335</v>
      </c>
      <c r="I16" s="2" t="s">
        <v>1324</v>
      </c>
      <c r="J16" s="2" t="s">
        <v>1343</v>
      </c>
      <c r="K16" s="2" t="s">
        <v>1344</v>
      </c>
    </row>
    <row r="17" spans="1:11" ht="28">
      <c r="A17" s="2" t="s">
        <v>26</v>
      </c>
      <c r="B17" s="2" t="s">
        <v>1044</v>
      </c>
      <c r="C17" s="2" t="s">
        <v>1297</v>
      </c>
      <c r="D17" s="2" t="s">
        <v>1298</v>
      </c>
      <c r="E17" s="2">
        <v>1</v>
      </c>
      <c r="F17" s="2" t="s">
        <v>1299</v>
      </c>
      <c r="G17" s="2" t="s">
        <v>1300</v>
      </c>
      <c r="H17" s="2" t="s">
        <v>1301</v>
      </c>
      <c r="I17" s="2" t="s">
        <v>1302</v>
      </c>
      <c r="J17" s="2" t="s">
        <v>1307</v>
      </c>
      <c r="K17" s="2" t="s">
        <v>1346</v>
      </c>
    </row>
    <row r="18" spans="1:11" ht="28">
      <c r="A18" s="2" t="s">
        <v>26</v>
      </c>
      <c r="B18" s="2" t="s">
        <v>1048</v>
      </c>
      <c r="C18" s="2" t="s">
        <v>1297</v>
      </c>
      <c r="D18" s="2" t="s">
        <v>1298</v>
      </c>
      <c r="E18" s="2">
        <v>1</v>
      </c>
      <c r="F18" s="2" t="s">
        <v>1347</v>
      </c>
      <c r="G18" s="2" t="s">
        <v>1300</v>
      </c>
      <c r="H18" s="2" t="s">
        <v>1348</v>
      </c>
      <c r="I18" s="2" t="s">
        <v>1302</v>
      </c>
      <c r="J18" s="2" t="s">
        <v>1349</v>
      </c>
      <c r="K18" s="2" t="s">
        <v>1350</v>
      </c>
    </row>
    <row r="19" spans="1:11" ht="28">
      <c r="A19" s="2" t="s">
        <v>26</v>
      </c>
      <c r="B19" s="2" t="s">
        <v>510</v>
      </c>
      <c r="C19" s="2" t="s">
        <v>1351</v>
      </c>
      <c r="D19" s="2" t="s">
        <v>1352</v>
      </c>
      <c r="E19" s="2">
        <v>204.58</v>
      </c>
      <c r="F19" s="2" t="s">
        <v>1353</v>
      </c>
      <c r="G19" s="2" t="s">
        <v>1354</v>
      </c>
      <c r="H19" s="2" t="s">
        <v>1355</v>
      </c>
      <c r="I19" s="2" t="s">
        <v>1302</v>
      </c>
      <c r="J19" s="2" t="s">
        <v>1356</v>
      </c>
      <c r="K19" s="2" t="s">
        <v>1357</v>
      </c>
    </row>
    <row r="20" spans="1:11" ht="42">
      <c r="A20" s="2" t="s">
        <v>26</v>
      </c>
      <c r="B20" s="2" t="s">
        <v>510</v>
      </c>
      <c r="C20" s="2" t="s">
        <v>1358</v>
      </c>
      <c r="D20" s="2" t="s">
        <v>1352</v>
      </c>
      <c r="E20" s="2">
        <v>1</v>
      </c>
      <c r="F20" s="2" t="s">
        <v>1359</v>
      </c>
      <c r="G20" s="2" t="s">
        <v>1360</v>
      </c>
      <c r="H20" s="2" t="s">
        <v>1355</v>
      </c>
      <c r="I20" s="2" t="s">
        <v>1302</v>
      </c>
      <c r="J20" s="2" t="s">
        <v>1361</v>
      </c>
      <c r="K20" s="2" t="s">
        <v>1362</v>
      </c>
    </row>
    <row r="21" spans="1:11" ht="42">
      <c r="A21" s="2" t="s">
        <v>26</v>
      </c>
      <c r="B21" s="2" t="s">
        <v>1056</v>
      </c>
      <c r="C21" s="2" t="s">
        <v>1363</v>
      </c>
      <c r="D21" s="2" t="s">
        <v>1364</v>
      </c>
      <c r="E21" s="2">
        <v>90</v>
      </c>
      <c r="F21" s="2" t="s">
        <v>1353</v>
      </c>
      <c r="G21" s="2" t="s">
        <v>1365</v>
      </c>
      <c r="H21" s="2" t="s">
        <v>1366</v>
      </c>
      <c r="I21" s="2" t="s">
        <v>1302</v>
      </c>
      <c r="J21" s="2" t="s">
        <v>1367</v>
      </c>
      <c r="K21" s="2" t="s">
        <v>1368</v>
      </c>
    </row>
    <row r="22" spans="1:11" ht="28">
      <c r="A22" s="2" t="s">
        <v>262</v>
      </c>
      <c r="B22" s="2" t="s">
        <v>1076</v>
      </c>
      <c r="C22" s="2" t="s">
        <v>1369</v>
      </c>
      <c r="D22" s="2" t="s">
        <v>804</v>
      </c>
      <c r="E22" s="2">
        <v>121</v>
      </c>
      <c r="F22" s="2" t="s">
        <v>1370</v>
      </c>
      <c r="G22" s="2" t="s">
        <v>81</v>
      </c>
      <c r="H22" s="2" t="s">
        <v>1371</v>
      </c>
      <c r="I22" s="2" t="s">
        <v>809</v>
      </c>
      <c r="J22" s="2" t="s">
        <v>1372</v>
      </c>
      <c r="K22" s="2" t="s">
        <v>1373</v>
      </c>
    </row>
    <row r="23" spans="1:11" ht="28">
      <c r="A23" s="2" t="s">
        <v>262</v>
      </c>
      <c r="B23" s="2" t="s">
        <v>1076</v>
      </c>
      <c r="C23" s="2" t="s">
        <v>1369</v>
      </c>
      <c r="D23" s="2" t="s">
        <v>804</v>
      </c>
      <c r="E23" s="2">
        <v>22157</v>
      </c>
      <c r="F23" s="2" t="s">
        <v>1374</v>
      </c>
      <c r="G23" s="2" t="s">
        <v>81</v>
      </c>
      <c r="H23" s="2" t="s">
        <v>1371</v>
      </c>
      <c r="I23" s="2" t="s">
        <v>809</v>
      </c>
      <c r="J23" s="2" t="s">
        <v>1375</v>
      </c>
      <c r="K23" s="2" t="s">
        <v>1376</v>
      </c>
    </row>
    <row r="24" spans="1:11" ht="28">
      <c r="A24" s="2" t="s">
        <v>262</v>
      </c>
      <c r="B24" s="2" t="s">
        <v>1076</v>
      </c>
      <c r="C24" s="2" t="s">
        <v>1377</v>
      </c>
      <c r="D24" s="2" t="s">
        <v>1378</v>
      </c>
      <c r="E24" s="2">
        <v>7</v>
      </c>
      <c r="F24" s="2" t="s">
        <v>1379</v>
      </c>
      <c r="G24" s="2" t="s">
        <v>81</v>
      </c>
      <c r="H24" s="2" t="s">
        <v>1371</v>
      </c>
      <c r="I24" s="2" t="s">
        <v>809</v>
      </c>
      <c r="J24" s="2" t="s">
        <v>1380</v>
      </c>
      <c r="K24" s="2" t="s">
        <v>1381</v>
      </c>
    </row>
    <row r="25" spans="1:11">
      <c r="A25" s="2" t="s">
        <v>262</v>
      </c>
      <c r="B25" s="2" t="s">
        <v>1076</v>
      </c>
      <c r="C25" s="2" t="s">
        <v>1377</v>
      </c>
      <c r="D25" s="2" t="s">
        <v>1382</v>
      </c>
      <c r="E25" s="2">
        <v>70</v>
      </c>
      <c r="F25" s="2" t="s">
        <v>1383</v>
      </c>
      <c r="G25" s="2" t="s">
        <v>81</v>
      </c>
      <c r="H25" s="2" t="s">
        <v>1384</v>
      </c>
      <c r="I25" s="2" t="s">
        <v>1312</v>
      </c>
      <c r="J25" s="2" t="s">
        <v>1385</v>
      </c>
      <c r="K25" s="2" t="s">
        <v>1386</v>
      </c>
    </row>
    <row r="26" spans="1:11" ht="28">
      <c r="A26" s="2" t="s">
        <v>262</v>
      </c>
      <c r="B26" s="2" t="s">
        <v>1076</v>
      </c>
      <c r="C26" s="2" t="s">
        <v>1377</v>
      </c>
      <c r="D26" s="2" t="s">
        <v>1387</v>
      </c>
      <c r="E26" s="2">
        <v>1018</v>
      </c>
      <c r="F26" s="2" t="s">
        <v>1383</v>
      </c>
      <c r="G26" s="2" t="s">
        <v>81</v>
      </c>
      <c r="H26" s="2" t="s">
        <v>1388</v>
      </c>
      <c r="I26" s="2" t="s">
        <v>1312</v>
      </c>
      <c r="J26" s="2" t="s">
        <v>1385</v>
      </c>
      <c r="K26" s="2" t="s">
        <v>1386</v>
      </c>
    </row>
    <row r="27" spans="1:11">
      <c r="A27" s="2" t="s">
        <v>262</v>
      </c>
      <c r="B27" s="2" t="s">
        <v>1063</v>
      </c>
      <c r="C27" s="2" t="s">
        <v>1377</v>
      </c>
      <c r="D27" s="2" t="s">
        <v>1389</v>
      </c>
      <c r="E27" s="2">
        <v>331</v>
      </c>
      <c r="F27" s="2" t="s">
        <v>1390</v>
      </c>
      <c r="G27" s="2" t="s">
        <v>81</v>
      </c>
      <c r="H27" s="2" t="s">
        <v>1391</v>
      </c>
      <c r="I27" s="2" t="s">
        <v>1312</v>
      </c>
      <c r="J27" s="2" t="s">
        <v>1392</v>
      </c>
      <c r="K27" s="2" t="s">
        <v>1393</v>
      </c>
    </row>
    <row r="28" spans="1:11" ht="28">
      <c r="A28" s="2" t="s">
        <v>262</v>
      </c>
      <c r="B28" s="2" t="s">
        <v>1063</v>
      </c>
      <c r="C28" s="2" t="s">
        <v>1377</v>
      </c>
      <c r="D28" s="2" t="s">
        <v>1394</v>
      </c>
      <c r="E28" s="2">
        <v>1165</v>
      </c>
      <c r="F28" s="2" t="s">
        <v>1390</v>
      </c>
      <c r="G28" s="2" t="s">
        <v>81</v>
      </c>
      <c r="H28" s="2" t="s">
        <v>1395</v>
      </c>
      <c r="I28" s="2" t="s">
        <v>1312</v>
      </c>
      <c r="J28" s="2" t="s">
        <v>1396</v>
      </c>
      <c r="K28" s="2" t="s">
        <v>1393</v>
      </c>
    </row>
    <row r="29" spans="1:11" ht="28">
      <c r="A29" s="2" t="s">
        <v>262</v>
      </c>
      <c r="B29" s="2" t="s">
        <v>1067</v>
      </c>
      <c r="C29" s="2" t="s">
        <v>1297</v>
      </c>
      <c r="D29" s="2" t="s">
        <v>1298</v>
      </c>
      <c r="E29" s="2">
        <v>1</v>
      </c>
      <c r="F29" s="2" t="s">
        <v>1299</v>
      </c>
      <c r="G29" s="2" t="s">
        <v>1300</v>
      </c>
      <c r="H29" s="2" t="s">
        <v>1348</v>
      </c>
      <c r="I29" s="2" t="s">
        <v>1302</v>
      </c>
      <c r="J29" s="2" t="s">
        <v>1307</v>
      </c>
      <c r="K29" s="2" t="s">
        <v>1346</v>
      </c>
    </row>
    <row r="30" spans="1:11" ht="28">
      <c r="A30" s="2" t="s">
        <v>262</v>
      </c>
      <c r="B30" s="2" t="s">
        <v>1072</v>
      </c>
      <c r="C30" s="2" t="s">
        <v>1297</v>
      </c>
      <c r="D30" s="2" t="s">
        <v>1298</v>
      </c>
      <c r="E30" s="2">
        <v>1</v>
      </c>
      <c r="F30" s="2" t="s">
        <v>1299</v>
      </c>
      <c r="G30" s="2" t="s">
        <v>1300</v>
      </c>
      <c r="H30" s="2" t="s">
        <v>1348</v>
      </c>
      <c r="I30" s="2" t="s">
        <v>1302</v>
      </c>
      <c r="J30" s="2" t="s">
        <v>1307</v>
      </c>
      <c r="K30" s="2" t="s">
        <v>1346</v>
      </c>
    </row>
    <row r="31" spans="1:11" ht="28">
      <c r="A31" s="2" t="s">
        <v>262</v>
      </c>
      <c r="B31" s="2" t="s">
        <v>1076</v>
      </c>
      <c r="C31" s="2" t="s">
        <v>1297</v>
      </c>
      <c r="D31" s="2" t="s">
        <v>1298</v>
      </c>
      <c r="E31" s="2">
        <v>1</v>
      </c>
      <c r="F31" s="2" t="s">
        <v>1299</v>
      </c>
      <c r="G31" s="2" t="s">
        <v>1300</v>
      </c>
      <c r="H31" s="2" t="s">
        <v>1348</v>
      </c>
      <c r="I31" s="2" t="s">
        <v>1302</v>
      </c>
      <c r="J31" s="2" t="s">
        <v>1307</v>
      </c>
      <c r="K31" s="2" t="s">
        <v>1346</v>
      </c>
    </row>
    <row r="32" spans="1:11" ht="28">
      <c r="A32" s="2" t="s">
        <v>262</v>
      </c>
      <c r="B32" s="2" t="s">
        <v>1080</v>
      </c>
      <c r="C32" s="2" t="s">
        <v>1297</v>
      </c>
      <c r="D32" s="2" t="s">
        <v>1298</v>
      </c>
      <c r="E32" s="2">
        <v>1</v>
      </c>
      <c r="F32" s="2" t="s">
        <v>1299</v>
      </c>
      <c r="G32" s="2" t="s">
        <v>1300</v>
      </c>
      <c r="H32" s="2" t="s">
        <v>1301</v>
      </c>
      <c r="I32" s="2" t="s">
        <v>1302</v>
      </c>
      <c r="J32" s="2" t="s">
        <v>1307</v>
      </c>
      <c r="K32" s="2" t="s">
        <v>1346</v>
      </c>
    </row>
    <row r="33" spans="1:11" ht="42">
      <c r="A33" s="2" t="s">
        <v>262</v>
      </c>
      <c r="B33" s="2" t="s">
        <v>1067</v>
      </c>
      <c r="C33" s="2" t="s">
        <v>1397</v>
      </c>
      <c r="D33" s="2" t="s">
        <v>1398</v>
      </c>
      <c r="E33" s="2">
        <v>40</v>
      </c>
      <c r="F33" s="2" t="s">
        <v>1399</v>
      </c>
      <c r="G33" s="2" t="s">
        <v>1365</v>
      </c>
      <c r="H33" s="2" t="s">
        <v>1226</v>
      </c>
      <c r="I33" s="2" t="s">
        <v>1331</v>
      </c>
      <c r="J33" s="2" t="s">
        <v>1400</v>
      </c>
      <c r="K33" s="2" t="s">
        <v>1401</v>
      </c>
    </row>
    <row r="34" spans="1:11" ht="42">
      <c r="A34" s="2" t="s">
        <v>262</v>
      </c>
      <c r="B34" s="2" t="s">
        <v>1072</v>
      </c>
      <c r="C34" s="2" t="s">
        <v>1397</v>
      </c>
      <c r="D34" s="2" t="s">
        <v>1398</v>
      </c>
      <c r="E34" s="2">
        <v>30</v>
      </c>
      <c r="F34" s="2" t="s">
        <v>1399</v>
      </c>
      <c r="G34" s="2" t="s">
        <v>1365</v>
      </c>
      <c r="H34" s="2" t="s">
        <v>1226</v>
      </c>
      <c r="I34" s="2" t="s">
        <v>1331</v>
      </c>
      <c r="J34" s="2" t="s">
        <v>1400</v>
      </c>
      <c r="K34" s="2" t="s">
        <v>1401</v>
      </c>
    </row>
    <row r="35" spans="1:11" ht="28">
      <c r="A35" s="2" t="s">
        <v>26</v>
      </c>
      <c r="B35" s="2" t="s">
        <v>1044</v>
      </c>
      <c r="C35" s="2" t="s">
        <v>1402</v>
      </c>
      <c r="D35" s="2" t="s">
        <v>1403</v>
      </c>
      <c r="E35" s="2">
        <v>39000</v>
      </c>
      <c r="F35" s="2" t="s">
        <v>1404</v>
      </c>
      <c r="G35" s="2" t="s">
        <v>32</v>
      </c>
      <c r="H35" s="2" t="s">
        <v>1405</v>
      </c>
      <c r="I35" s="2" t="s">
        <v>1406</v>
      </c>
      <c r="J35" s="2" t="s">
        <v>1407</v>
      </c>
      <c r="K35" s="2" t="s">
        <v>1408</v>
      </c>
    </row>
    <row r="36" spans="1:11" ht="28">
      <c r="A36" s="2" t="s">
        <v>26</v>
      </c>
      <c r="B36" s="2" t="s">
        <v>1044</v>
      </c>
      <c r="C36" s="2" t="s">
        <v>1409</v>
      </c>
      <c r="D36" s="2" t="s">
        <v>1410</v>
      </c>
      <c r="E36" s="2">
        <v>1</v>
      </c>
      <c r="F36" s="2" t="s">
        <v>1411</v>
      </c>
      <c r="G36" s="2" t="s">
        <v>81</v>
      </c>
      <c r="H36" s="2" t="s">
        <v>1412</v>
      </c>
      <c r="I36" s="2" t="s">
        <v>1406</v>
      </c>
      <c r="J36" s="2" t="s">
        <v>1413</v>
      </c>
      <c r="K36" s="2" t="s">
        <v>1414</v>
      </c>
    </row>
    <row r="37" spans="1:11" ht="56">
      <c r="A37" s="2" t="s">
        <v>26</v>
      </c>
      <c r="B37" s="2" t="s">
        <v>1052</v>
      </c>
      <c r="C37" s="2" t="s">
        <v>1415</v>
      </c>
      <c r="D37" s="2" t="s">
        <v>1416</v>
      </c>
      <c r="E37" s="2">
        <v>194</v>
      </c>
      <c r="F37" s="2" t="s">
        <v>1417</v>
      </c>
      <c r="G37" s="2" t="s">
        <v>505</v>
      </c>
      <c r="H37" s="2" t="s">
        <v>1418</v>
      </c>
      <c r="I37" s="2" t="s">
        <v>1419</v>
      </c>
      <c r="J37" s="2" t="s">
        <v>1420</v>
      </c>
      <c r="K37" s="2" t="s">
        <v>1421</v>
      </c>
    </row>
    <row r="38" spans="1:11" ht="56">
      <c r="A38" s="2" t="s">
        <v>262</v>
      </c>
      <c r="B38" s="2" t="s">
        <v>1076</v>
      </c>
      <c r="C38" s="2" t="s">
        <v>1415</v>
      </c>
      <c r="D38" s="2" t="s">
        <v>1422</v>
      </c>
      <c r="E38" s="2">
        <v>194</v>
      </c>
      <c r="F38" s="2" t="s">
        <v>1417</v>
      </c>
      <c r="G38" s="2" t="s">
        <v>505</v>
      </c>
      <c r="H38" s="2" t="s">
        <v>1418</v>
      </c>
      <c r="I38" s="2" t="s">
        <v>1419</v>
      </c>
      <c r="J38" s="2" t="s">
        <v>1423</v>
      </c>
      <c r="K38" s="2" t="s">
        <v>1424</v>
      </c>
    </row>
    <row r="39" spans="1:11" ht="28">
      <c r="A39" s="2" t="s">
        <v>221</v>
      </c>
      <c r="B39" s="2" t="s">
        <v>1019</v>
      </c>
      <c r="C39" s="2" t="s">
        <v>1415</v>
      </c>
      <c r="D39" s="2" t="s">
        <v>1425</v>
      </c>
      <c r="E39" s="2">
        <v>1</v>
      </c>
      <c r="F39" s="2" t="s">
        <v>1426</v>
      </c>
      <c r="G39" s="2" t="s">
        <v>505</v>
      </c>
      <c r="H39" s="2" t="s">
        <v>1427</v>
      </c>
      <c r="I39" s="2" t="s">
        <v>1428</v>
      </c>
      <c r="J39" s="2" t="s">
        <v>1429</v>
      </c>
      <c r="K39" s="2" t="s">
        <v>1430</v>
      </c>
    </row>
    <row r="40" spans="1:11" ht="28">
      <c r="A40" s="2" t="s">
        <v>221</v>
      </c>
      <c r="B40" s="2" t="s">
        <v>1031</v>
      </c>
      <c r="C40" s="2" t="s">
        <v>1415</v>
      </c>
      <c r="D40" s="2" t="s">
        <v>1431</v>
      </c>
      <c r="E40" s="2">
        <v>1</v>
      </c>
      <c r="F40" s="2" t="s">
        <v>1426</v>
      </c>
      <c r="G40" s="2" t="s">
        <v>505</v>
      </c>
      <c r="H40" s="2" t="s">
        <v>1427</v>
      </c>
      <c r="I40" s="2" t="s">
        <v>1428</v>
      </c>
      <c r="J40" s="2" t="s">
        <v>1432</v>
      </c>
      <c r="K40" s="2" t="s">
        <v>1430</v>
      </c>
    </row>
    <row r="41" spans="1:11" ht="28">
      <c r="A41" s="2" t="s">
        <v>221</v>
      </c>
      <c r="B41" s="2" t="s">
        <v>1026</v>
      </c>
      <c r="C41" s="2" t="s">
        <v>1415</v>
      </c>
      <c r="D41" s="2" t="s">
        <v>1433</v>
      </c>
      <c r="E41" s="2">
        <v>1</v>
      </c>
      <c r="F41" s="2" t="s">
        <v>1426</v>
      </c>
      <c r="G41" s="2" t="s">
        <v>505</v>
      </c>
      <c r="H41" s="2" t="s">
        <v>1427</v>
      </c>
      <c r="I41" s="2" t="s">
        <v>1428</v>
      </c>
      <c r="J41" s="2" t="s">
        <v>1434</v>
      </c>
      <c r="K41" s="2" t="s">
        <v>1430</v>
      </c>
    </row>
    <row r="42" spans="1:11" ht="42">
      <c r="A42" s="2" t="s">
        <v>262</v>
      </c>
      <c r="B42" s="2" t="s">
        <v>1072</v>
      </c>
      <c r="C42" s="2" t="s">
        <v>1351</v>
      </c>
      <c r="D42" s="2" t="s">
        <v>1435</v>
      </c>
      <c r="E42" s="2">
        <v>28.41</v>
      </c>
      <c r="F42" s="2" t="s">
        <v>1436</v>
      </c>
      <c r="G42" s="2" t="s">
        <v>81</v>
      </c>
      <c r="H42" s="2" t="s">
        <v>1437</v>
      </c>
      <c r="I42" s="2" t="s">
        <v>1438</v>
      </c>
      <c r="J42" s="2" t="s">
        <v>1439</v>
      </c>
      <c r="K42" s="2" t="s">
        <v>1440</v>
      </c>
    </row>
    <row r="43" spans="1:11" ht="42">
      <c r="A43" s="2" t="s">
        <v>262</v>
      </c>
      <c r="B43" s="2" t="s">
        <v>1072</v>
      </c>
      <c r="C43" s="2" t="s">
        <v>1351</v>
      </c>
      <c r="D43" s="2" t="s">
        <v>1441</v>
      </c>
      <c r="E43" s="2">
        <v>542</v>
      </c>
      <c r="F43" s="2" t="s">
        <v>1353</v>
      </c>
      <c r="G43" s="2" t="s">
        <v>1365</v>
      </c>
      <c r="H43" s="2" t="s">
        <v>1226</v>
      </c>
      <c r="I43" s="2" t="s">
        <v>1302</v>
      </c>
      <c r="J43" s="2" t="s">
        <v>1442</v>
      </c>
      <c r="K43" s="2" t="s">
        <v>1443</v>
      </c>
    </row>
    <row r="44" spans="1:11" ht="42">
      <c r="A44" s="2" t="s">
        <v>262</v>
      </c>
      <c r="B44" s="2" t="s">
        <v>1067</v>
      </c>
      <c r="C44" s="2" t="s">
        <v>1351</v>
      </c>
      <c r="D44" s="2" t="s">
        <v>1441</v>
      </c>
      <c r="E44" s="2">
        <v>542</v>
      </c>
      <c r="F44" s="2" t="s">
        <v>1353</v>
      </c>
      <c r="G44" s="2" t="s">
        <v>1365</v>
      </c>
      <c r="H44" s="2" t="s">
        <v>1226</v>
      </c>
      <c r="I44" s="2" t="s">
        <v>1302</v>
      </c>
      <c r="J44" s="2" t="s">
        <v>1444</v>
      </c>
      <c r="K44" s="2" t="s">
        <v>1445</v>
      </c>
    </row>
    <row r="45" spans="1:11" ht="28">
      <c r="A45" s="2" t="s">
        <v>262</v>
      </c>
      <c r="B45" s="2" t="s">
        <v>1072</v>
      </c>
      <c r="C45" s="2" t="s">
        <v>1446</v>
      </c>
      <c r="D45" s="2" t="s">
        <v>1447</v>
      </c>
      <c r="E45" s="2">
        <v>2</v>
      </c>
      <c r="F45" s="2" t="s">
        <v>1448</v>
      </c>
      <c r="G45" s="2" t="s">
        <v>1449</v>
      </c>
      <c r="H45" s="2" t="s">
        <v>1450</v>
      </c>
      <c r="I45" s="2" t="s">
        <v>1451</v>
      </c>
      <c r="J45" s="2" t="s">
        <v>1452</v>
      </c>
      <c r="K45" s="2" t="s">
        <v>1453</v>
      </c>
    </row>
    <row r="46" spans="1:11" ht="28">
      <c r="A46" s="2" t="s">
        <v>262</v>
      </c>
      <c r="B46" s="2" t="s">
        <v>1076</v>
      </c>
      <c r="C46" s="2" t="s">
        <v>1446</v>
      </c>
      <c r="D46" s="2" t="s">
        <v>1454</v>
      </c>
      <c r="E46" s="2">
        <v>557</v>
      </c>
      <c r="F46" s="2" t="s">
        <v>1383</v>
      </c>
      <c r="G46" s="2" t="s">
        <v>1449</v>
      </c>
      <c r="H46" s="2" t="s">
        <v>1450</v>
      </c>
      <c r="I46" s="2" t="s">
        <v>1451</v>
      </c>
      <c r="J46" s="2" t="s">
        <v>1455</v>
      </c>
      <c r="K46" s="2" t="s">
        <v>1453</v>
      </c>
    </row>
    <row r="47" spans="1:11" ht="28">
      <c r="A47" s="2" t="s">
        <v>26</v>
      </c>
      <c r="B47" s="2" t="s">
        <v>1056</v>
      </c>
      <c r="C47" s="2" t="s">
        <v>1285</v>
      </c>
      <c r="D47" s="2" t="s">
        <v>1456</v>
      </c>
      <c r="E47" s="2">
        <v>1014.88</v>
      </c>
      <c r="F47" s="2" t="s">
        <v>1457</v>
      </c>
      <c r="G47" s="2" t="s">
        <v>505</v>
      </c>
      <c r="H47" s="2" t="s">
        <v>1458</v>
      </c>
      <c r="I47" s="2" t="s">
        <v>1302</v>
      </c>
      <c r="J47" s="2" t="s">
        <v>1459</v>
      </c>
      <c r="K47" s="2" t="s">
        <v>1460</v>
      </c>
    </row>
    <row r="48" spans="1:11" ht="28">
      <c r="A48" s="2" t="s">
        <v>262</v>
      </c>
      <c r="B48" s="2" t="s">
        <v>1080</v>
      </c>
      <c r="C48" s="2" t="s">
        <v>1377</v>
      </c>
      <c r="D48" s="2" t="s">
        <v>1461</v>
      </c>
      <c r="E48" s="2">
        <v>554</v>
      </c>
      <c r="F48" s="2" t="s">
        <v>1462</v>
      </c>
      <c r="G48" s="2" t="s">
        <v>81</v>
      </c>
      <c r="H48" s="2" t="s">
        <v>1463</v>
      </c>
      <c r="I48" s="2" t="s">
        <v>1464</v>
      </c>
      <c r="J48" s="2" t="s">
        <v>1465</v>
      </c>
      <c r="K48" s="2" t="s">
        <v>1466</v>
      </c>
    </row>
    <row r="49" spans="1:11" ht="28">
      <c r="A49" s="2" t="s">
        <v>262</v>
      </c>
      <c r="B49" s="2" t="s">
        <v>1080</v>
      </c>
      <c r="C49" s="2" t="s">
        <v>1467</v>
      </c>
      <c r="D49" s="2" t="s">
        <v>1461</v>
      </c>
      <c r="E49" s="2">
        <v>680</v>
      </c>
      <c r="F49" s="2" t="s">
        <v>1468</v>
      </c>
      <c r="G49" s="2" t="s">
        <v>81</v>
      </c>
      <c r="H49" s="2" t="s">
        <v>1463</v>
      </c>
      <c r="I49" s="2" t="s">
        <v>1464</v>
      </c>
      <c r="J49" s="2" t="s">
        <v>1469</v>
      </c>
      <c r="K49" s="2" t="s">
        <v>1470</v>
      </c>
    </row>
    <row r="50" spans="1:11" ht="28">
      <c r="A50" s="2" t="s">
        <v>262</v>
      </c>
      <c r="B50" s="2" t="s">
        <v>1080</v>
      </c>
      <c r="C50" s="2" t="s">
        <v>1467</v>
      </c>
      <c r="D50" s="2" t="s">
        <v>1461</v>
      </c>
      <c r="E50" s="2">
        <v>215</v>
      </c>
      <c r="F50" s="2" t="s">
        <v>1471</v>
      </c>
      <c r="G50" s="2" t="s">
        <v>81</v>
      </c>
      <c r="H50" s="2" t="s">
        <v>1463</v>
      </c>
      <c r="I50" s="2" t="s">
        <v>1464</v>
      </c>
      <c r="J50" s="2" t="s">
        <v>1472</v>
      </c>
      <c r="K50" s="2" t="s">
        <v>1470</v>
      </c>
    </row>
    <row r="51" spans="1:11" ht="28">
      <c r="A51" s="2" t="s">
        <v>221</v>
      </c>
      <c r="B51" s="2" t="s">
        <v>1036</v>
      </c>
      <c r="C51" s="2" t="s">
        <v>1415</v>
      </c>
      <c r="D51" s="2" t="s">
        <v>1473</v>
      </c>
      <c r="E51" s="2">
        <v>1</v>
      </c>
      <c r="F51" s="2" t="s">
        <v>1474</v>
      </c>
      <c r="G51" s="2" t="s">
        <v>32</v>
      </c>
      <c r="H51" s="2" t="s">
        <v>1475</v>
      </c>
      <c r="I51" s="2" t="s">
        <v>1428</v>
      </c>
      <c r="J51" s="2" t="s">
        <v>1476</v>
      </c>
      <c r="K51" s="2" t="s">
        <v>1430</v>
      </c>
    </row>
    <row r="52" spans="1:11" ht="28">
      <c r="A52" s="2" t="s">
        <v>221</v>
      </c>
      <c r="B52" s="2" t="s">
        <v>1036</v>
      </c>
      <c r="C52" s="2" t="s">
        <v>1477</v>
      </c>
      <c r="D52" s="2" t="s">
        <v>1478</v>
      </c>
      <c r="E52" s="2">
        <v>1</v>
      </c>
      <c r="F52" s="2" t="s">
        <v>1479</v>
      </c>
      <c r="G52" s="2" t="s">
        <v>81</v>
      </c>
      <c r="H52" s="2" t="s">
        <v>527</v>
      </c>
      <c r="I52" s="2" t="s">
        <v>834</v>
      </c>
      <c r="J52" s="2" t="s">
        <v>1480</v>
      </c>
      <c r="K52" s="2" t="s">
        <v>1481</v>
      </c>
    </row>
    <row r="53" spans="1:11" ht="28">
      <c r="A53" s="2" t="s">
        <v>26</v>
      </c>
      <c r="B53" s="2" t="s">
        <v>1048</v>
      </c>
      <c r="C53" s="2" t="s">
        <v>1477</v>
      </c>
      <c r="D53" s="2" t="s">
        <v>1482</v>
      </c>
      <c r="E53" s="2">
        <v>1</v>
      </c>
      <c r="F53" s="2" t="s">
        <v>1479</v>
      </c>
      <c r="G53" s="2" t="s">
        <v>81</v>
      </c>
      <c r="H53" s="2" t="s">
        <v>533</v>
      </c>
      <c r="I53" s="2" t="s">
        <v>834</v>
      </c>
      <c r="J53" s="2" t="s">
        <v>1483</v>
      </c>
      <c r="K53" s="2" t="s">
        <v>1484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61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30" customWidth="1"/>
    <col min="3" max="3" width="26" customWidth="1"/>
    <col min="4" max="4" width="28" customWidth="1"/>
    <col min="5" max="5" width="18" customWidth="1"/>
    <col min="6" max="6" width="16" customWidth="1"/>
    <col min="7" max="7" width="20" customWidth="1"/>
    <col min="8" max="8" width="24" customWidth="1"/>
    <col min="9" max="9" width="56" customWidth="1"/>
    <col min="10" max="10" width="14" customWidth="1"/>
    <col min="11" max="11" width="58" customWidth="1"/>
    <col min="12" max="12" width="22" customWidth="1"/>
    <col min="13" max="13" width="52" customWidth="1"/>
  </cols>
  <sheetData>
    <row r="1" spans="1:13" ht="28">
      <c r="A1" s="13" t="s">
        <v>1009</v>
      </c>
      <c r="B1" s="13" t="s">
        <v>1010</v>
      </c>
      <c r="C1" s="13" t="s">
        <v>1485</v>
      </c>
      <c r="D1" s="13" t="s">
        <v>1486</v>
      </c>
      <c r="E1" s="13" t="s">
        <v>1487</v>
      </c>
      <c r="F1" s="13" t="s">
        <v>1488</v>
      </c>
      <c r="G1" s="13" t="s">
        <v>1489</v>
      </c>
      <c r="H1" s="13" t="s">
        <v>1490</v>
      </c>
      <c r="I1" s="13" t="s">
        <v>1491</v>
      </c>
      <c r="J1" s="13" t="s">
        <v>1283</v>
      </c>
      <c r="K1" s="13" t="s">
        <v>191</v>
      </c>
      <c r="L1" s="13" t="s">
        <v>800</v>
      </c>
      <c r="M1" s="13" t="s">
        <v>802</v>
      </c>
    </row>
    <row r="2" spans="1:13" ht="28">
      <c r="A2" s="2" t="s">
        <v>221</v>
      </c>
      <c r="B2" s="2" t="s">
        <v>1040</v>
      </c>
      <c r="C2" s="2" t="s">
        <v>1492</v>
      </c>
      <c r="D2" s="2" t="s">
        <v>1493</v>
      </c>
      <c r="E2" s="2">
        <v>20</v>
      </c>
      <c r="F2" s="2">
        <v>42</v>
      </c>
      <c r="G2" s="2">
        <v>26</v>
      </c>
      <c r="H2" s="2" t="s">
        <v>1494</v>
      </c>
      <c r="I2" s="2" t="s">
        <v>1495</v>
      </c>
      <c r="J2" s="2" t="s">
        <v>1496</v>
      </c>
      <c r="K2" s="2" t="s">
        <v>1497</v>
      </c>
      <c r="L2" s="2" t="s">
        <v>83</v>
      </c>
      <c r="M2" s="2" t="s">
        <v>1498</v>
      </c>
    </row>
    <row r="3" spans="1:13" ht="28">
      <c r="A3" s="2" t="s">
        <v>221</v>
      </c>
      <c r="B3" s="2" t="s">
        <v>1040</v>
      </c>
      <c r="C3" s="2" t="s">
        <v>1492</v>
      </c>
      <c r="D3" s="2" t="s">
        <v>1493</v>
      </c>
      <c r="E3" s="2">
        <v>20</v>
      </c>
      <c r="F3" s="2">
        <v>36</v>
      </c>
      <c r="G3" s="2">
        <v>19</v>
      </c>
      <c r="H3" s="2" t="s">
        <v>1494</v>
      </c>
      <c r="I3" s="2" t="s">
        <v>1499</v>
      </c>
      <c r="J3" s="2" t="s">
        <v>655</v>
      </c>
      <c r="K3" s="2" t="s">
        <v>1500</v>
      </c>
      <c r="L3" s="2" t="s">
        <v>83</v>
      </c>
      <c r="M3" s="2" t="s">
        <v>1501</v>
      </c>
    </row>
    <row r="4" spans="1:13" ht="28">
      <c r="A4" s="2" t="s">
        <v>221</v>
      </c>
      <c r="B4" s="2" t="s">
        <v>1019</v>
      </c>
      <c r="C4" s="2" t="s">
        <v>1492</v>
      </c>
      <c r="D4" s="2" t="s">
        <v>1502</v>
      </c>
      <c r="E4" s="2">
        <v>19</v>
      </c>
      <c r="F4" s="2">
        <v>50</v>
      </c>
      <c r="G4" s="2">
        <v>12.5</v>
      </c>
      <c r="H4" s="2" t="s">
        <v>1494</v>
      </c>
      <c r="I4" s="2" t="s">
        <v>1503</v>
      </c>
      <c r="J4" s="2" t="s">
        <v>655</v>
      </c>
      <c r="K4" s="2" t="s">
        <v>1504</v>
      </c>
      <c r="L4" s="2" t="s">
        <v>83</v>
      </c>
      <c r="M4" s="2" t="s">
        <v>1505</v>
      </c>
    </row>
    <row r="5" spans="1:13" ht="28">
      <c r="A5" s="2" t="s">
        <v>221</v>
      </c>
      <c r="B5" s="2" t="s">
        <v>1031</v>
      </c>
      <c r="C5" s="2" t="s">
        <v>1506</v>
      </c>
      <c r="D5" s="2" t="s">
        <v>1507</v>
      </c>
      <c r="E5" s="2">
        <v>0</v>
      </c>
      <c r="F5" s="2"/>
      <c r="G5" s="2"/>
      <c r="H5" s="2" t="s">
        <v>1508</v>
      </c>
      <c r="I5" s="2" t="s">
        <v>1509</v>
      </c>
      <c r="J5" s="2" t="s">
        <v>1510</v>
      </c>
      <c r="K5" s="2" t="s">
        <v>1511</v>
      </c>
      <c r="L5" s="2" t="s">
        <v>83</v>
      </c>
      <c r="M5" s="2" t="s">
        <v>1512</v>
      </c>
    </row>
    <row r="6" spans="1:13" ht="28">
      <c r="A6" s="2" t="s">
        <v>221</v>
      </c>
      <c r="B6" s="2" t="s">
        <v>1031</v>
      </c>
      <c r="C6" s="2" t="s">
        <v>1513</v>
      </c>
      <c r="D6" s="2" t="s">
        <v>1514</v>
      </c>
      <c r="E6" s="2">
        <v>20</v>
      </c>
      <c r="F6" s="2">
        <v>40</v>
      </c>
      <c r="G6" s="2">
        <v>5</v>
      </c>
      <c r="H6" s="2" t="s">
        <v>1515</v>
      </c>
      <c r="I6" s="2" t="s">
        <v>1516</v>
      </c>
      <c r="J6" s="2" t="s">
        <v>1510</v>
      </c>
      <c r="K6" s="2" t="s">
        <v>1517</v>
      </c>
      <c r="L6" s="2" t="s">
        <v>83</v>
      </c>
      <c r="M6" s="2" t="s">
        <v>1518</v>
      </c>
    </row>
    <row r="7" spans="1:13" ht="28">
      <c r="A7" s="2" t="s">
        <v>221</v>
      </c>
      <c r="B7" s="2" t="s">
        <v>1026</v>
      </c>
      <c r="C7" s="2" t="s">
        <v>1513</v>
      </c>
      <c r="D7" s="2" t="s">
        <v>1514</v>
      </c>
      <c r="E7" s="2">
        <v>11</v>
      </c>
      <c r="F7" s="2">
        <v>40</v>
      </c>
      <c r="G7" s="2">
        <v>5.2</v>
      </c>
      <c r="H7" s="2" t="s">
        <v>1515</v>
      </c>
      <c r="I7" s="2" t="s">
        <v>1519</v>
      </c>
      <c r="J7" s="2" t="s">
        <v>655</v>
      </c>
      <c r="K7" s="2" t="s">
        <v>1520</v>
      </c>
      <c r="L7" s="2" t="s">
        <v>83</v>
      </c>
      <c r="M7" s="2" t="s">
        <v>1521</v>
      </c>
    </row>
    <row r="8" spans="1:13" ht="28">
      <c r="A8" s="2" t="s">
        <v>221</v>
      </c>
      <c r="B8" s="2" t="s">
        <v>1036</v>
      </c>
      <c r="C8" s="2" t="s">
        <v>1513</v>
      </c>
      <c r="D8" s="2" t="s">
        <v>1514</v>
      </c>
      <c r="E8" s="2"/>
      <c r="F8" s="2">
        <v>30</v>
      </c>
      <c r="G8" s="2">
        <v>4.5</v>
      </c>
      <c r="H8" s="2" t="s">
        <v>1515</v>
      </c>
      <c r="I8" s="2" t="s">
        <v>1522</v>
      </c>
      <c r="J8" s="2" t="s">
        <v>1523</v>
      </c>
      <c r="K8" s="2" t="s">
        <v>1524</v>
      </c>
      <c r="L8" s="2" t="s">
        <v>83</v>
      </c>
      <c r="M8" s="2" t="s">
        <v>1521</v>
      </c>
    </row>
    <row r="9" spans="1:13" ht="28">
      <c r="A9" s="2" t="s">
        <v>26</v>
      </c>
      <c r="B9" s="2" t="s">
        <v>1052</v>
      </c>
      <c r="C9" s="2" t="s">
        <v>1492</v>
      </c>
      <c r="D9" s="2" t="s">
        <v>1525</v>
      </c>
      <c r="E9" s="2">
        <v>5</v>
      </c>
      <c r="F9" s="2">
        <v>50</v>
      </c>
      <c r="G9" s="2">
        <v>15</v>
      </c>
      <c r="H9" s="2" t="s">
        <v>1526</v>
      </c>
      <c r="I9" s="2" t="s">
        <v>1527</v>
      </c>
      <c r="J9" s="2" t="s">
        <v>1496</v>
      </c>
      <c r="K9" s="2" t="s">
        <v>1528</v>
      </c>
      <c r="L9" s="2" t="s">
        <v>83</v>
      </c>
      <c r="M9" s="2" t="s">
        <v>1529</v>
      </c>
    </row>
    <row r="10" spans="1:13" ht="28">
      <c r="A10" s="2" t="s">
        <v>26</v>
      </c>
      <c r="B10" s="2" t="s">
        <v>1052</v>
      </c>
      <c r="C10" s="2" t="s">
        <v>1492</v>
      </c>
      <c r="D10" s="2" t="s">
        <v>1530</v>
      </c>
      <c r="E10" s="2">
        <v>5</v>
      </c>
      <c r="F10" s="2">
        <v>76</v>
      </c>
      <c r="G10" s="2">
        <v>20</v>
      </c>
      <c r="H10" s="2" t="s">
        <v>1526</v>
      </c>
      <c r="I10" s="2" t="s">
        <v>1531</v>
      </c>
      <c r="J10" s="2" t="s">
        <v>1496</v>
      </c>
      <c r="K10" s="2" t="s">
        <v>1528</v>
      </c>
      <c r="L10" s="2" t="s">
        <v>83</v>
      </c>
      <c r="M10" s="2" t="s">
        <v>1532</v>
      </c>
    </row>
    <row r="11" spans="1:13" ht="28">
      <c r="A11" s="2" t="s">
        <v>26</v>
      </c>
      <c r="B11" s="2" t="s">
        <v>1056</v>
      </c>
      <c r="C11" s="2" t="s">
        <v>1492</v>
      </c>
      <c r="D11" s="2" t="s">
        <v>1533</v>
      </c>
      <c r="E11" s="2">
        <v>6</v>
      </c>
      <c r="F11" s="2">
        <v>40</v>
      </c>
      <c r="G11" s="2">
        <v>9</v>
      </c>
      <c r="H11" s="2" t="s">
        <v>1494</v>
      </c>
      <c r="I11" s="2" t="s">
        <v>1534</v>
      </c>
      <c r="J11" s="2" t="s">
        <v>1496</v>
      </c>
      <c r="K11" s="2" t="s">
        <v>1535</v>
      </c>
      <c r="L11" s="2" t="s">
        <v>83</v>
      </c>
      <c r="M11" s="2" t="s">
        <v>1536</v>
      </c>
    </row>
    <row r="12" spans="1:13" ht="28">
      <c r="A12" s="2" t="s">
        <v>26</v>
      </c>
      <c r="B12" s="2" t="s">
        <v>1056</v>
      </c>
      <c r="C12" s="2" t="s">
        <v>1492</v>
      </c>
      <c r="D12" s="2" t="s">
        <v>1533</v>
      </c>
      <c r="E12" s="2">
        <v>6</v>
      </c>
      <c r="F12" s="2">
        <v>50</v>
      </c>
      <c r="G12" s="2">
        <v>11</v>
      </c>
      <c r="H12" s="2" t="s">
        <v>1526</v>
      </c>
      <c r="I12" s="2" t="s">
        <v>1537</v>
      </c>
      <c r="J12" s="2" t="s">
        <v>655</v>
      </c>
      <c r="K12" s="2" t="s">
        <v>1535</v>
      </c>
      <c r="L12" s="2" t="s">
        <v>83</v>
      </c>
      <c r="M12" s="2" t="s">
        <v>1538</v>
      </c>
    </row>
    <row r="13" spans="1:13" ht="28">
      <c r="A13" s="2" t="s">
        <v>26</v>
      </c>
      <c r="B13" s="2" t="s">
        <v>1044</v>
      </c>
      <c r="C13" s="2" t="s">
        <v>1506</v>
      </c>
      <c r="D13" s="2" t="s">
        <v>1539</v>
      </c>
      <c r="E13" s="2">
        <v>9</v>
      </c>
      <c r="F13" s="2">
        <v>700</v>
      </c>
      <c r="G13" s="2">
        <v>150</v>
      </c>
      <c r="H13" s="2" t="s">
        <v>1540</v>
      </c>
      <c r="I13" s="2" t="s">
        <v>1541</v>
      </c>
      <c r="J13" s="2" t="s">
        <v>1496</v>
      </c>
      <c r="K13" s="2" t="s">
        <v>1542</v>
      </c>
      <c r="L13" s="2" t="s">
        <v>83</v>
      </c>
      <c r="M13" s="2" t="s">
        <v>1543</v>
      </c>
    </row>
    <row r="14" spans="1:13" ht="28">
      <c r="A14" s="2" t="s">
        <v>262</v>
      </c>
      <c r="B14" s="2" t="s">
        <v>1072</v>
      </c>
      <c r="C14" s="2" t="s">
        <v>1492</v>
      </c>
      <c r="D14" s="2" t="s">
        <v>1544</v>
      </c>
      <c r="E14" s="2">
        <v>1</v>
      </c>
      <c r="F14" s="2">
        <v>32</v>
      </c>
      <c r="G14" s="2">
        <v>6.5</v>
      </c>
      <c r="H14" s="2" t="s">
        <v>1494</v>
      </c>
      <c r="I14" s="2" t="s">
        <v>1545</v>
      </c>
      <c r="J14" s="2" t="s">
        <v>1510</v>
      </c>
      <c r="K14" s="2" t="s">
        <v>1546</v>
      </c>
      <c r="L14" s="2" t="s">
        <v>83</v>
      </c>
      <c r="M14" s="2" t="s">
        <v>1547</v>
      </c>
    </row>
    <row r="15" spans="1:13" ht="28">
      <c r="A15" s="2" t="s">
        <v>262</v>
      </c>
      <c r="B15" s="2" t="s">
        <v>1072</v>
      </c>
      <c r="C15" s="2" t="s">
        <v>1506</v>
      </c>
      <c r="D15" s="2" t="s">
        <v>1507</v>
      </c>
      <c r="E15" s="2">
        <v>0</v>
      </c>
      <c r="F15" s="2"/>
      <c r="G15" s="2"/>
      <c r="H15" s="2" t="s">
        <v>1508</v>
      </c>
      <c r="I15" s="2" t="s">
        <v>1509</v>
      </c>
      <c r="J15" s="2" t="s">
        <v>1510</v>
      </c>
      <c r="K15" s="2" t="s">
        <v>1548</v>
      </c>
      <c r="L15" s="2" t="s">
        <v>83</v>
      </c>
      <c r="M15" s="2" t="s">
        <v>1549</v>
      </c>
    </row>
    <row r="16" spans="1:13" ht="28">
      <c r="A16" s="2" t="s">
        <v>262</v>
      </c>
      <c r="B16" s="2" t="s">
        <v>1067</v>
      </c>
      <c r="C16" s="2" t="s">
        <v>1506</v>
      </c>
      <c r="D16" s="2" t="s">
        <v>1507</v>
      </c>
      <c r="E16" s="2">
        <v>0</v>
      </c>
      <c r="F16" s="2"/>
      <c r="G16" s="2"/>
      <c r="H16" s="2" t="s">
        <v>1508</v>
      </c>
      <c r="I16" s="2" t="s">
        <v>1509</v>
      </c>
      <c r="J16" s="2" t="s">
        <v>1510</v>
      </c>
      <c r="K16" s="2" t="s">
        <v>1550</v>
      </c>
      <c r="L16" s="2" t="s">
        <v>83</v>
      </c>
      <c r="M16" s="2" t="s">
        <v>1549</v>
      </c>
    </row>
    <row r="17" spans="1:13" ht="28">
      <c r="A17" s="2" t="s">
        <v>262</v>
      </c>
      <c r="B17" s="2" t="s">
        <v>1067</v>
      </c>
      <c r="C17" s="2" t="s">
        <v>1513</v>
      </c>
      <c r="D17" s="2" t="s">
        <v>1514</v>
      </c>
      <c r="E17" s="2">
        <v>17</v>
      </c>
      <c r="F17" s="2">
        <v>36</v>
      </c>
      <c r="G17" s="2">
        <v>4.5</v>
      </c>
      <c r="H17" s="2" t="s">
        <v>1515</v>
      </c>
      <c r="I17" s="2" t="s">
        <v>1551</v>
      </c>
      <c r="J17" s="2" t="s">
        <v>1510</v>
      </c>
      <c r="K17" s="2" t="s">
        <v>1552</v>
      </c>
      <c r="L17" s="2" t="s">
        <v>83</v>
      </c>
      <c r="M17" s="2" t="s">
        <v>1521</v>
      </c>
    </row>
    <row r="18" spans="1:13" ht="28">
      <c r="A18" s="2" t="s">
        <v>262</v>
      </c>
      <c r="B18" s="2" t="s">
        <v>1076</v>
      </c>
      <c r="C18" s="2" t="s">
        <v>1513</v>
      </c>
      <c r="D18" s="2" t="s">
        <v>1514</v>
      </c>
      <c r="E18" s="2">
        <v>20</v>
      </c>
      <c r="F18" s="2">
        <v>30</v>
      </c>
      <c r="G18" s="2">
        <v>3.7</v>
      </c>
      <c r="H18" s="2" t="s">
        <v>1515</v>
      </c>
      <c r="I18" s="2" t="s">
        <v>1553</v>
      </c>
      <c r="J18" s="2" t="s">
        <v>1510</v>
      </c>
      <c r="K18" s="2" t="s">
        <v>1554</v>
      </c>
      <c r="L18" s="2" t="s">
        <v>83</v>
      </c>
      <c r="M18" s="2" t="s">
        <v>1521</v>
      </c>
    </row>
    <row r="19" spans="1:13" ht="28">
      <c r="A19" s="2" t="s">
        <v>262</v>
      </c>
      <c r="B19" s="2" t="s">
        <v>1080</v>
      </c>
      <c r="C19" s="2" t="s">
        <v>1513</v>
      </c>
      <c r="D19" s="2" t="s">
        <v>1514</v>
      </c>
      <c r="E19" s="2">
        <v>14</v>
      </c>
      <c r="F19" s="2">
        <v>35</v>
      </c>
      <c r="G19" s="2">
        <v>3.8</v>
      </c>
      <c r="H19" s="2" t="s">
        <v>1515</v>
      </c>
      <c r="I19" s="2" t="s">
        <v>1555</v>
      </c>
      <c r="J19" s="2" t="s">
        <v>1510</v>
      </c>
      <c r="K19" s="2" t="s">
        <v>1556</v>
      </c>
      <c r="L19" s="2" t="s">
        <v>83</v>
      </c>
      <c r="M19" s="2" t="s">
        <v>1521</v>
      </c>
    </row>
    <row r="20" spans="1:13" ht="28">
      <c r="A20" s="2" t="s">
        <v>262</v>
      </c>
      <c r="B20" s="2" t="s">
        <v>1063</v>
      </c>
      <c r="C20" s="2" t="s">
        <v>1506</v>
      </c>
      <c r="D20" s="2" t="s">
        <v>1557</v>
      </c>
      <c r="E20" s="2"/>
      <c r="F20" s="2"/>
      <c r="G20" s="2"/>
      <c r="H20" s="2" t="s">
        <v>1558</v>
      </c>
      <c r="I20" s="2" t="s">
        <v>1559</v>
      </c>
      <c r="J20" s="2" t="s">
        <v>1510</v>
      </c>
      <c r="K20" s="2" t="s">
        <v>1560</v>
      </c>
      <c r="L20" s="2" t="s">
        <v>83</v>
      </c>
      <c r="M20" s="2" t="s">
        <v>1561</v>
      </c>
    </row>
    <row r="21" spans="1:13" ht="28">
      <c r="A21" s="2" t="s">
        <v>221</v>
      </c>
      <c r="B21" s="2" t="s">
        <v>1026</v>
      </c>
      <c r="C21" s="2" t="s">
        <v>1492</v>
      </c>
      <c r="D21" s="2" t="s">
        <v>1562</v>
      </c>
      <c r="E21" s="2">
        <v>4</v>
      </c>
      <c r="F21" s="2">
        <v>40</v>
      </c>
      <c r="G21" s="2">
        <v>11</v>
      </c>
      <c r="H21" s="2" t="s">
        <v>1563</v>
      </c>
      <c r="I21" s="2" t="s">
        <v>1564</v>
      </c>
      <c r="J21" s="2" t="s">
        <v>1565</v>
      </c>
      <c r="K21" s="2" t="s">
        <v>1566</v>
      </c>
      <c r="L21" s="2" t="s">
        <v>83</v>
      </c>
      <c r="M21" s="2" t="s">
        <v>1567</v>
      </c>
    </row>
    <row r="22" spans="1:13" ht="28">
      <c r="A22" s="2" t="s">
        <v>221</v>
      </c>
      <c r="B22" s="2" t="s">
        <v>1026</v>
      </c>
      <c r="C22" s="2" t="s">
        <v>1492</v>
      </c>
      <c r="D22" s="2" t="s">
        <v>1562</v>
      </c>
      <c r="E22" s="2">
        <v>4</v>
      </c>
      <c r="F22" s="2">
        <v>40</v>
      </c>
      <c r="G22" s="2">
        <v>10</v>
      </c>
      <c r="H22" s="2" t="s">
        <v>1563</v>
      </c>
      <c r="I22" s="2" t="s">
        <v>1568</v>
      </c>
      <c r="J22" s="2" t="s">
        <v>1569</v>
      </c>
      <c r="K22" s="2" t="s">
        <v>1566</v>
      </c>
      <c r="L22" s="2" t="s">
        <v>83</v>
      </c>
      <c r="M22" s="2" t="s">
        <v>1570</v>
      </c>
    </row>
    <row r="23" spans="1:13" ht="28">
      <c r="A23" s="2" t="s">
        <v>221</v>
      </c>
      <c r="B23" s="2" t="s">
        <v>1026</v>
      </c>
      <c r="C23" s="2" t="s">
        <v>1492</v>
      </c>
      <c r="D23" s="2" t="s">
        <v>1562</v>
      </c>
      <c r="E23" s="2">
        <v>4</v>
      </c>
      <c r="F23" s="2">
        <v>42</v>
      </c>
      <c r="G23" s="2">
        <v>10</v>
      </c>
      <c r="H23" s="2" t="s">
        <v>1563</v>
      </c>
      <c r="I23" s="2" t="s">
        <v>1571</v>
      </c>
      <c r="J23" s="2" t="s">
        <v>1572</v>
      </c>
      <c r="K23" s="2" t="s">
        <v>1566</v>
      </c>
      <c r="L23" s="2" t="s">
        <v>83</v>
      </c>
      <c r="M23" s="2" t="s">
        <v>1573</v>
      </c>
    </row>
    <row r="24" spans="1:13" ht="28">
      <c r="A24" s="2" t="s">
        <v>221</v>
      </c>
      <c r="B24" s="2" t="s">
        <v>1031</v>
      </c>
      <c r="C24" s="2" t="s">
        <v>1492</v>
      </c>
      <c r="D24" s="2" t="s">
        <v>1574</v>
      </c>
      <c r="E24" s="2"/>
      <c r="F24" s="2">
        <v>40</v>
      </c>
      <c r="G24" s="2">
        <v>10</v>
      </c>
      <c r="H24" s="2" t="s">
        <v>1563</v>
      </c>
      <c r="I24" s="2" t="s">
        <v>1575</v>
      </c>
      <c r="J24" s="2" t="s">
        <v>1572</v>
      </c>
      <c r="K24" s="2" t="s">
        <v>1576</v>
      </c>
      <c r="L24" s="2" t="s">
        <v>83</v>
      </c>
      <c r="M24" s="2" t="s">
        <v>1577</v>
      </c>
    </row>
    <row r="25" spans="1:13" ht="28">
      <c r="A25" s="2" t="s">
        <v>221</v>
      </c>
      <c r="B25" s="2" t="s">
        <v>1031</v>
      </c>
      <c r="C25" s="2" t="s">
        <v>1492</v>
      </c>
      <c r="D25" s="2" t="s">
        <v>1578</v>
      </c>
      <c r="E25" s="2"/>
      <c r="F25" s="2">
        <v>30</v>
      </c>
      <c r="G25" s="2">
        <v>20</v>
      </c>
      <c r="H25" s="2" t="s">
        <v>1563</v>
      </c>
      <c r="I25" s="2" t="s">
        <v>1579</v>
      </c>
      <c r="J25" s="2" t="s">
        <v>655</v>
      </c>
      <c r="K25" s="2" t="s">
        <v>1580</v>
      </c>
      <c r="L25" s="2" t="s">
        <v>1581</v>
      </c>
      <c r="M25" s="2" t="s">
        <v>1582</v>
      </c>
    </row>
    <row r="26" spans="1:13" ht="28">
      <c r="A26" s="2" t="s">
        <v>221</v>
      </c>
      <c r="B26" s="2" t="s">
        <v>1019</v>
      </c>
      <c r="C26" s="2" t="s">
        <v>1492</v>
      </c>
      <c r="D26" s="2" t="s">
        <v>1562</v>
      </c>
      <c r="E26" s="2">
        <v>2</v>
      </c>
      <c r="F26" s="2">
        <v>40</v>
      </c>
      <c r="G26" s="2">
        <v>15</v>
      </c>
      <c r="H26" s="2" t="s">
        <v>1563</v>
      </c>
      <c r="I26" s="2" t="s">
        <v>1583</v>
      </c>
      <c r="J26" s="2" t="s">
        <v>1584</v>
      </c>
      <c r="K26" s="2" t="s">
        <v>1585</v>
      </c>
      <c r="L26" s="2" t="s">
        <v>83</v>
      </c>
      <c r="M26" s="2" t="s">
        <v>1570</v>
      </c>
    </row>
    <row r="27" spans="1:13" ht="28">
      <c r="A27" s="2" t="s">
        <v>221</v>
      </c>
      <c r="B27" s="2" t="s">
        <v>1019</v>
      </c>
      <c r="C27" s="2" t="s">
        <v>1492</v>
      </c>
      <c r="D27" s="2" t="s">
        <v>1562</v>
      </c>
      <c r="E27" s="2">
        <v>2</v>
      </c>
      <c r="F27" s="2">
        <v>48</v>
      </c>
      <c r="G27" s="2">
        <v>26</v>
      </c>
      <c r="H27" s="2" t="s">
        <v>1526</v>
      </c>
      <c r="I27" s="2" t="s">
        <v>1586</v>
      </c>
      <c r="J27" s="2" t="s">
        <v>81</v>
      </c>
      <c r="K27" s="2" t="s">
        <v>1585</v>
      </c>
      <c r="L27" s="2" t="s">
        <v>83</v>
      </c>
      <c r="M27" s="2" t="s">
        <v>1587</v>
      </c>
    </row>
    <row r="28" spans="1:13" ht="28">
      <c r="A28" s="2" t="s">
        <v>221</v>
      </c>
      <c r="B28" s="2" t="s">
        <v>1040</v>
      </c>
      <c r="C28" s="2" t="s">
        <v>1492</v>
      </c>
      <c r="D28" s="2" t="s">
        <v>1588</v>
      </c>
      <c r="E28" s="2"/>
      <c r="F28" s="2">
        <v>30</v>
      </c>
      <c r="G28" s="2">
        <v>10</v>
      </c>
      <c r="H28" s="2" t="s">
        <v>1494</v>
      </c>
      <c r="I28" s="2" t="s">
        <v>1589</v>
      </c>
      <c r="J28" s="2" t="s">
        <v>81</v>
      </c>
      <c r="K28" s="2" t="s">
        <v>1590</v>
      </c>
      <c r="L28" s="2" t="s">
        <v>1581</v>
      </c>
      <c r="M28" s="2" t="s">
        <v>1591</v>
      </c>
    </row>
    <row r="29" spans="1:13" ht="28">
      <c r="A29" s="2" t="s">
        <v>221</v>
      </c>
      <c r="B29" s="2" t="s">
        <v>1040</v>
      </c>
      <c r="C29" s="2" t="s">
        <v>1492</v>
      </c>
      <c r="D29" s="2" t="s">
        <v>1592</v>
      </c>
      <c r="E29" s="2"/>
      <c r="F29" s="2">
        <v>40</v>
      </c>
      <c r="G29" s="2">
        <v>13</v>
      </c>
      <c r="H29" s="2" t="s">
        <v>1563</v>
      </c>
      <c r="I29" s="2" t="s">
        <v>1593</v>
      </c>
      <c r="J29" s="2" t="s">
        <v>81</v>
      </c>
      <c r="K29" s="2" t="s">
        <v>1594</v>
      </c>
      <c r="L29" s="2" t="s">
        <v>1581</v>
      </c>
      <c r="M29" s="2" t="s">
        <v>1595</v>
      </c>
    </row>
    <row r="30" spans="1:13" ht="28">
      <c r="A30" s="2" t="s">
        <v>221</v>
      </c>
      <c r="B30" s="2" t="s">
        <v>1040</v>
      </c>
      <c r="C30" s="2" t="s">
        <v>1492</v>
      </c>
      <c r="D30" s="2" t="s">
        <v>1592</v>
      </c>
      <c r="E30" s="2"/>
      <c r="F30" s="2">
        <v>28.26</v>
      </c>
      <c r="G30" s="2">
        <v>10</v>
      </c>
      <c r="H30" s="2" t="s">
        <v>1563</v>
      </c>
      <c r="I30" s="2" t="s">
        <v>1596</v>
      </c>
      <c r="J30" s="2" t="s">
        <v>81</v>
      </c>
      <c r="K30" s="2" t="s">
        <v>1597</v>
      </c>
      <c r="L30" s="2" t="s">
        <v>1581</v>
      </c>
      <c r="M30" s="2" t="s">
        <v>1598</v>
      </c>
    </row>
    <row r="31" spans="1:13" ht="28">
      <c r="A31" s="2" t="s">
        <v>26</v>
      </c>
      <c r="B31" s="2" t="s">
        <v>1044</v>
      </c>
      <c r="C31" s="2" t="s">
        <v>1492</v>
      </c>
      <c r="D31" s="2" t="s">
        <v>1599</v>
      </c>
      <c r="E31" s="2"/>
      <c r="F31" s="2">
        <v>40</v>
      </c>
      <c r="G31" s="2">
        <v>12.5</v>
      </c>
      <c r="H31" s="2" t="s">
        <v>1494</v>
      </c>
      <c r="I31" s="2" t="s">
        <v>1600</v>
      </c>
      <c r="J31" s="2" t="s">
        <v>1510</v>
      </c>
      <c r="K31" s="2" t="s">
        <v>1601</v>
      </c>
      <c r="L31" s="2" t="s">
        <v>1581</v>
      </c>
      <c r="M31" s="2" t="s">
        <v>1602</v>
      </c>
    </row>
    <row r="32" spans="1:13" ht="28">
      <c r="A32" s="2" t="s">
        <v>26</v>
      </c>
      <c r="B32" s="2" t="s">
        <v>1052</v>
      </c>
      <c r="C32" s="2" t="s">
        <v>1492</v>
      </c>
      <c r="D32" s="2" t="s">
        <v>1603</v>
      </c>
      <c r="E32" s="2"/>
      <c r="F32" s="2">
        <v>40</v>
      </c>
      <c r="G32" s="2">
        <v>8</v>
      </c>
      <c r="H32" s="2" t="s">
        <v>1563</v>
      </c>
      <c r="I32" s="2" t="s">
        <v>1604</v>
      </c>
      <c r="J32" s="2" t="s">
        <v>81</v>
      </c>
      <c r="K32" s="2" t="s">
        <v>1605</v>
      </c>
      <c r="L32" s="2" t="s">
        <v>1581</v>
      </c>
      <c r="M32" s="2" t="s">
        <v>1570</v>
      </c>
    </row>
    <row r="33" spans="1:13" ht="28">
      <c r="A33" s="2" t="s">
        <v>26</v>
      </c>
      <c r="B33" s="2" t="s">
        <v>1052</v>
      </c>
      <c r="C33" s="2" t="s">
        <v>1492</v>
      </c>
      <c r="D33" s="2" t="s">
        <v>1606</v>
      </c>
      <c r="E33" s="2"/>
      <c r="F33" s="2">
        <v>40</v>
      </c>
      <c r="G33" s="2">
        <v>15</v>
      </c>
      <c r="H33" s="2" t="s">
        <v>1563</v>
      </c>
      <c r="I33" s="2" t="s">
        <v>1607</v>
      </c>
      <c r="J33" s="2" t="s">
        <v>81</v>
      </c>
      <c r="K33" s="2" t="s">
        <v>1608</v>
      </c>
      <c r="L33" s="2" t="s">
        <v>1581</v>
      </c>
      <c r="M33" s="2" t="s">
        <v>1609</v>
      </c>
    </row>
    <row r="34" spans="1:13" ht="42">
      <c r="A34" s="2" t="s">
        <v>26</v>
      </c>
      <c r="B34" s="2" t="s">
        <v>1052</v>
      </c>
      <c r="C34" s="2" t="s">
        <v>1492</v>
      </c>
      <c r="D34" s="2" t="s">
        <v>1606</v>
      </c>
      <c r="E34" s="2"/>
      <c r="F34" s="2">
        <v>40</v>
      </c>
      <c r="G34" s="2">
        <v>10</v>
      </c>
      <c r="H34" s="2" t="s">
        <v>1563</v>
      </c>
      <c r="I34" s="2" t="s">
        <v>1610</v>
      </c>
      <c r="J34" s="2" t="s">
        <v>655</v>
      </c>
      <c r="K34" s="2" t="s">
        <v>1611</v>
      </c>
      <c r="L34" s="2" t="s">
        <v>1612</v>
      </c>
      <c r="M34" s="2" t="s">
        <v>1570</v>
      </c>
    </row>
    <row r="35" spans="1:13" ht="28">
      <c r="A35" s="2" t="s">
        <v>26</v>
      </c>
      <c r="B35" s="2" t="s">
        <v>1056</v>
      </c>
      <c r="C35" s="2" t="s">
        <v>1492</v>
      </c>
      <c r="D35" s="2" t="s">
        <v>1603</v>
      </c>
      <c r="E35" s="2"/>
      <c r="F35" s="2">
        <v>40</v>
      </c>
      <c r="G35" s="2">
        <v>9</v>
      </c>
      <c r="H35" s="2" t="s">
        <v>1563</v>
      </c>
      <c r="I35" s="2" t="s">
        <v>1613</v>
      </c>
      <c r="J35" s="2" t="s">
        <v>655</v>
      </c>
      <c r="K35" s="2" t="s">
        <v>1614</v>
      </c>
      <c r="L35" s="2" t="s">
        <v>1581</v>
      </c>
      <c r="M35" s="2" t="s">
        <v>1615</v>
      </c>
    </row>
    <row r="36" spans="1:13" ht="28">
      <c r="A36" s="2" t="s">
        <v>26</v>
      </c>
      <c r="B36" s="2" t="s">
        <v>1056</v>
      </c>
      <c r="C36" s="2" t="s">
        <v>1492</v>
      </c>
      <c r="D36" s="2" t="s">
        <v>1616</v>
      </c>
      <c r="E36" s="2"/>
      <c r="F36" s="2">
        <v>40</v>
      </c>
      <c r="G36" s="2">
        <v>8</v>
      </c>
      <c r="H36" s="2" t="s">
        <v>1563</v>
      </c>
      <c r="I36" s="2" t="s">
        <v>1617</v>
      </c>
      <c r="J36" s="2" t="s">
        <v>81</v>
      </c>
      <c r="K36" s="2" t="s">
        <v>1618</v>
      </c>
      <c r="L36" s="2" t="s">
        <v>1581</v>
      </c>
      <c r="M36" s="2" t="s">
        <v>1619</v>
      </c>
    </row>
    <row r="37" spans="1:13" ht="28">
      <c r="A37" s="2" t="s">
        <v>26</v>
      </c>
      <c r="B37" s="2" t="s">
        <v>1056</v>
      </c>
      <c r="C37" s="2" t="s">
        <v>1492</v>
      </c>
      <c r="D37" s="2" t="s">
        <v>1616</v>
      </c>
      <c r="E37" s="2"/>
      <c r="F37" s="2">
        <v>40</v>
      </c>
      <c r="G37" s="2">
        <v>7</v>
      </c>
      <c r="H37" s="2" t="s">
        <v>1563</v>
      </c>
      <c r="I37" s="2" t="s">
        <v>1620</v>
      </c>
      <c r="J37" s="2" t="s">
        <v>81</v>
      </c>
      <c r="K37" s="2" t="s">
        <v>1621</v>
      </c>
      <c r="L37" s="2" t="s">
        <v>1581</v>
      </c>
      <c r="M37" s="2" t="s">
        <v>1622</v>
      </c>
    </row>
    <row r="38" spans="1:13" ht="28">
      <c r="A38" s="2" t="s">
        <v>262</v>
      </c>
      <c r="B38" s="2" t="s">
        <v>1072</v>
      </c>
      <c r="C38" s="2" t="s">
        <v>1492</v>
      </c>
      <c r="D38" s="2" t="s">
        <v>1592</v>
      </c>
      <c r="E38" s="2"/>
      <c r="F38" s="2">
        <v>40</v>
      </c>
      <c r="G38" s="2">
        <v>13</v>
      </c>
      <c r="H38" s="2" t="s">
        <v>1563</v>
      </c>
      <c r="I38" s="2" t="s">
        <v>1623</v>
      </c>
      <c r="J38" s="2" t="s">
        <v>81</v>
      </c>
      <c r="K38" s="2" t="s">
        <v>1624</v>
      </c>
      <c r="L38" s="2" t="s">
        <v>1581</v>
      </c>
      <c r="M38" s="2" t="s">
        <v>1570</v>
      </c>
    </row>
    <row r="39" spans="1:13" ht="28">
      <c r="A39" s="2" t="s">
        <v>262</v>
      </c>
      <c r="B39" s="2" t="s">
        <v>1080</v>
      </c>
      <c r="C39" s="2" t="s">
        <v>1492</v>
      </c>
      <c r="D39" s="2" t="s">
        <v>1625</v>
      </c>
      <c r="E39" s="2"/>
      <c r="F39" s="2">
        <v>35</v>
      </c>
      <c r="G39" s="2">
        <v>4.5</v>
      </c>
      <c r="H39" s="2" t="s">
        <v>1494</v>
      </c>
      <c r="I39" s="2" t="s">
        <v>1626</v>
      </c>
      <c r="J39" s="2" t="s">
        <v>81</v>
      </c>
      <c r="K39" s="2" t="s">
        <v>1627</v>
      </c>
      <c r="L39" s="2" t="s">
        <v>1581</v>
      </c>
      <c r="M39" s="2" t="s">
        <v>1628</v>
      </c>
    </row>
    <row r="40" spans="1:13" ht="28">
      <c r="A40" s="2" t="s">
        <v>262</v>
      </c>
      <c r="B40" s="2" t="s">
        <v>1080</v>
      </c>
      <c r="C40" s="2" t="s">
        <v>1492</v>
      </c>
      <c r="D40" s="2" t="s">
        <v>1629</v>
      </c>
      <c r="E40" s="2"/>
      <c r="F40" s="2">
        <v>30</v>
      </c>
      <c r="G40" s="2">
        <v>5</v>
      </c>
      <c r="H40" s="2" t="s">
        <v>1494</v>
      </c>
      <c r="I40" s="2" t="s">
        <v>1630</v>
      </c>
      <c r="J40" s="2" t="s">
        <v>1510</v>
      </c>
      <c r="K40" s="2" t="s">
        <v>1631</v>
      </c>
      <c r="L40" s="2" t="s">
        <v>1581</v>
      </c>
      <c r="M40" s="2" t="s">
        <v>1632</v>
      </c>
    </row>
    <row r="41" spans="1:13" ht="28">
      <c r="A41" s="2" t="s">
        <v>262</v>
      </c>
      <c r="B41" s="2" t="s">
        <v>1080</v>
      </c>
      <c r="C41" s="2" t="s">
        <v>1492</v>
      </c>
      <c r="D41" s="2" t="s">
        <v>1633</v>
      </c>
      <c r="E41" s="2"/>
      <c r="F41" s="2">
        <v>30</v>
      </c>
      <c r="G41" s="2">
        <v>8</v>
      </c>
      <c r="H41" s="2" t="s">
        <v>1634</v>
      </c>
      <c r="I41" s="2" t="s">
        <v>1635</v>
      </c>
      <c r="J41" s="2" t="s">
        <v>81</v>
      </c>
      <c r="K41" s="2" t="s">
        <v>1636</v>
      </c>
      <c r="L41" s="2" t="s">
        <v>1581</v>
      </c>
      <c r="M41" s="2" t="s">
        <v>1637</v>
      </c>
    </row>
    <row r="42" spans="1:13" ht="28">
      <c r="A42" s="2" t="s">
        <v>262</v>
      </c>
      <c r="B42" s="2" t="s">
        <v>1067</v>
      </c>
      <c r="C42" s="2" t="s">
        <v>1492</v>
      </c>
      <c r="D42" s="2" t="s">
        <v>1638</v>
      </c>
      <c r="E42" s="2"/>
      <c r="F42" s="2">
        <v>30</v>
      </c>
      <c r="G42" s="2">
        <v>8</v>
      </c>
      <c r="H42" s="2" t="s">
        <v>1494</v>
      </c>
      <c r="I42" s="2" t="s">
        <v>1639</v>
      </c>
      <c r="J42" s="2" t="s">
        <v>81</v>
      </c>
      <c r="K42" s="2" t="s">
        <v>1640</v>
      </c>
      <c r="L42" s="2" t="s">
        <v>1581</v>
      </c>
      <c r="M42" s="2" t="s">
        <v>1641</v>
      </c>
    </row>
    <row r="43" spans="1:13" ht="28">
      <c r="A43" s="2" t="s">
        <v>221</v>
      </c>
      <c r="B43" s="2" t="s">
        <v>1040</v>
      </c>
      <c r="C43" s="2" t="s">
        <v>1492</v>
      </c>
      <c r="D43" s="2" t="s">
        <v>1592</v>
      </c>
      <c r="E43" s="2"/>
      <c r="F43" s="2">
        <v>40</v>
      </c>
      <c r="G43" s="2">
        <v>25</v>
      </c>
      <c r="H43" s="2" t="s">
        <v>1563</v>
      </c>
      <c r="I43" s="2" t="s">
        <v>1642</v>
      </c>
      <c r="J43" s="2" t="s">
        <v>1510</v>
      </c>
      <c r="K43" s="2" t="s">
        <v>1643</v>
      </c>
      <c r="L43" s="2" t="s">
        <v>1644</v>
      </c>
      <c r="M43" s="2" t="s">
        <v>1645</v>
      </c>
    </row>
    <row r="44" spans="1:13" ht="28">
      <c r="A44" s="2" t="s">
        <v>221</v>
      </c>
      <c r="B44" s="2" t="s">
        <v>1031</v>
      </c>
      <c r="C44" s="2" t="s">
        <v>1492</v>
      </c>
      <c r="D44" s="2" t="s">
        <v>1646</v>
      </c>
      <c r="E44" s="2">
        <v>3</v>
      </c>
      <c r="F44" s="2">
        <v>40</v>
      </c>
      <c r="G44" s="2"/>
      <c r="H44" s="2" t="s">
        <v>1494</v>
      </c>
      <c r="I44" s="2" t="s">
        <v>1647</v>
      </c>
      <c r="J44" s="2" t="s">
        <v>655</v>
      </c>
      <c r="K44" s="2" t="s">
        <v>1648</v>
      </c>
      <c r="L44" s="2" t="s">
        <v>1649</v>
      </c>
      <c r="M44" s="2" t="s">
        <v>1650</v>
      </c>
    </row>
    <row r="45" spans="1:13" ht="42">
      <c r="A45" s="2" t="s">
        <v>262</v>
      </c>
      <c r="B45" s="2" t="s">
        <v>1076</v>
      </c>
      <c r="C45" s="2" t="s">
        <v>1492</v>
      </c>
      <c r="D45" s="2" t="s">
        <v>1592</v>
      </c>
      <c r="E45" s="2"/>
      <c r="F45" s="2">
        <v>40</v>
      </c>
      <c r="G45" s="2">
        <v>8</v>
      </c>
      <c r="H45" s="2" t="s">
        <v>1563</v>
      </c>
      <c r="I45" s="2" t="s">
        <v>1651</v>
      </c>
      <c r="J45" s="2" t="s">
        <v>655</v>
      </c>
      <c r="K45" s="2" t="s">
        <v>1652</v>
      </c>
      <c r="L45" s="2" t="s">
        <v>1612</v>
      </c>
      <c r="M45" s="2" t="s">
        <v>1653</v>
      </c>
    </row>
    <row r="46" spans="1:13" ht="28">
      <c r="A46" s="2" t="s">
        <v>262</v>
      </c>
      <c r="B46" s="2" t="s">
        <v>1076</v>
      </c>
      <c r="C46" s="2" t="s">
        <v>1492</v>
      </c>
      <c r="D46" s="2" t="s">
        <v>1592</v>
      </c>
      <c r="E46" s="2"/>
      <c r="F46" s="2">
        <v>40</v>
      </c>
      <c r="G46" s="2">
        <v>9</v>
      </c>
      <c r="H46" s="2" t="s">
        <v>1563</v>
      </c>
      <c r="I46" s="2" t="s">
        <v>1654</v>
      </c>
      <c r="J46" s="2" t="s">
        <v>1510</v>
      </c>
      <c r="K46" s="2" t="s">
        <v>1655</v>
      </c>
      <c r="L46" s="2" t="s">
        <v>1581</v>
      </c>
      <c r="M46" s="2" t="s">
        <v>1656</v>
      </c>
    </row>
    <row r="47" spans="1:13" ht="28">
      <c r="A47" s="2" t="s">
        <v>262</v>
      </c>
      <c r="B47" s="2" t="s">
        <v>1076</v>
      </c>
      <c r="C47" s="2" t="s">
        <v>1492</v>
      </c>
      <c r="D47" s="2" t="s">
        <v>1592</v>
      </c>
      <c r="E47" s="2"/>
      <c r="F47" s="2">
        <v>40</v>
      </c>
      <c r="G47" s="2">
        <v>8</v>
      </c>
      <c r="H47" s="2" t="s">
        <v>1494</v>
      </c>
      <c r="I47" s="2" t="s">
        <v>1657</v>
      </c>
      <c r="J47" s="2" t="s">
        <v>655</v>
      </c>
      <c r="K47" s="2" t="s">
        <v>1658</v>
      </c>
      <c r="L47" s="2" t="s">
        <v>1659</v>
      </c>
      <c r="M47" s="2" t="s">
        <v>1660</v>
      </c>
    </row>
    <row r="48" spans="1:13" ht="42">
      <c r="A48" s="2" t="s">
        <v>262</v>
      </c>
      <c r="B48" s="2" t="s">
        <v>1072</v>
      </c>
      <c r="C48" s="2" t="s">
        <v>1492</v>
      </c>
      <c r="D48" s="2" t="s">
        <v>1661</v>
      </c>
      <c r="E48" s="2"/>
      <c r="F48" s="2">
        <v>45</v>
      </c>
      <c r="G48" s="2">
        <v>3.8</v>
      </c>
      <c r="H48" s="2" t="s">
        <v>1563</v>
      </c>
      <c r="I48" s="2" t="s">
        <v>1662</v>
      </c>
      <c r="J48" s="2" t="s">
        <v>1496</v>
      </c>
      <c r="K48" s="2" t="s">
        <v>1663</v>
      </c>
      <c r="L48" s="2" t="s">
        <v>83</v>
      </c>
      <c r="M48" s="2" t="s">
        <v>1664</v>
      </c>
    </row>
    <row r="49" spans="1:13" ht="42">
      <c r="A49" s="2" t="s">
        <v>262</v>
      </c>
      <c r="B49" s="2" t="s">
        <v>1072</v>
      </c>
      <c r="C49" s="2" t="s">
        <v>1492</v>
      </c>
      <c r="D49" s="2" t="s">
        <v>1665</v>
      </c>
      <c r="E49" s="2"/>
      <c r="F49" s="2">
        <v>30</v>
      </c>
      <c r="G49" s="2">
        <v>3.5</v>
      </c>
      <c r="H49" s="2" t="s">
        <v>1494</v>
      </c>
      <c r="I49" s="2" t="s">
        <v>1666</v>
      </c>
      <c r="J49" s="2" t="s">
        <v>1496</v>
      </c>
      <c r="K49" s="2" t="s">
        <v>1667</v>
      </c>
      <c r="L49" s="2" t="s">
        <v>1612</v>
      </c>
      <c r="M49" s="2" t="s">
        <v>1668</v>
      </c>
    </row>
    <row r="50" spans="1:13" ht="28">
      <c r="A50" s="2" t="s">
        <v>262</v>
      </c>
      <c r="B50" s="2" t="s">
        <v>1067</v>
      </c>
      <c r="C50" s="2" t="s">
        <v>1492</v>
      </c>
      <c r="D50" s="2" t="s">
        <v>1592</v>
      </c>
      <c r="E50" s="2"/>
      <c r="F50" s="2">
        <v>40</v>
      </c>
      <c r="G50" s="2">
        <v>2</v>
      </c>
      <c r="H50" s="2" t="s">
        <v>1563</v>
      </c>
      <c r="I50" s="2" t="s">
        <v>1669</v>
      </c>
      <c r="J50" s="2" t="s">
        <v>1510</v>
      </c>
      <c r="K50" s="2" t="s">
        <v>1670</v>
      </c>
      <c r="L50" s="2" t="s">
        <v>1581</v>
      </c>
      <c r="M50" s="2" t="s">
        <v>1671</v>
      </c>
    </row>
    <row r="51" spans="1:13" ht="28">
      <c r="A51" s="2" t="s">
        <v>262</v>
      </c>
      <c r="B51" s="2" t="s">
        <v>1080</v>
      </c>
      <c r="C51" s="2" t="s">
        <v>1492</v>
      </c>
      <c r="D51" s="2" t="s">
        <v>1672</v>
      </c>
      <c r="E51" s="2"/>
      <c r="F51" s="2">
        <v>40</v>
      </c>
      <c r="G51" s="2">
        <v>6</v>
      </c>
      <c r="H51" s="2" t="s">
        <v>1494</v>
      </c>
      <c r="I51" s="2" t="s">
        <v>1673</v>
      </c>
      <c r="J51" s="2" t="s">
        <v>655</v>
      </c>
      <c r="K51" s="2" t="s">
        <v>1674</v>
      </c>
      <c r="L51" s="2" t="s">
        <v>83</v>
      </c>
      <c r="M51" s="2" t="s">
        <v>1675</v>
      </c>
    </row>
    <row r="52" spans="1:13" ht="28">
      <c r="A52" s="2" t="s">
        <v>221</v>
      </c>
      <c r="B52" s="2" t="s">
        <v>1019</v>
      </c>
      <c r="C52" s="2" t="s">
        <v>1492</v>
      </c>
      <c r="D52" s="2" t="s">
        <v>1592</v>
      </c>
      <c r="E52" s="2"/>
      <c r="F52" s="2">
        <v>30</v>
      </c>
      <c r="G52" s="2">
        <v>7</v>
      </c>
      <c r="H52" s="2" t="s">
        <v>1563</v>
      </c>
      <c r="I52" s="2" t="s">
        <v>1676</v>
      </c>
      <c r="J52" s="2" t="s">
        <v>1510</v>
      </c>
      <c r="K52" s="2" t="s">
        <v>1677</v>
      </c>
      <c r="L52" s="2" t="s">
        <v>1581</v>
      </c>
      <c r="M52" s="2" t="s">
        <v>1678</v>
      </c>
    </row>
    <row r="53" spans="1:13" ht="28">
      <c r="A53" s="2" t="s">
        <v>221</v>
      </c>
      <c r="B53" s="2" t="s">
        <v>1019</v>
      </c>
      <c r="C53" s="2" t="s">
        <v>1492</v>
      </c>
      <c r="D53" s="2" t="s">
        <v>1592</v>
      </c>
      <c r="E53" s="2"/>
      <c r="F53" s="2">
        <v>30</v>
      </c>
      <c r="G53" s="2">
        <v>10</v>
      </c>
      <c r="H53" s="2" t="s">
        <v>1563</v>
      </c>
      <c r="I53" s="2" t="s">
        <v>1679</v>
      </c>
      <c r="J53" s="2" t="s">
        <v>1510</v>
      </c>
      <c r="K53" s="2" t="s">
        <v>1680</v>
      </c>
      <c r="L53" s="2" t="s">
        <v>1581</v>
      </c>
      <c r="M53" s="2" t="s">
        <v>1570</v>
      </c>
    </row>
    <row r="54" spans="1:13" ht="28">
      <c r="A54" s="2" t="s">
        <v>221</v>
      </c>
      <c r="B54" s="2" t="s">
        <v>1031</v>
      </c>
      <c r="C54" s="2" t="s">
        <v>1492</v>
      </c>
      <c r="D54" s="2" t="s">
        <v>1681</v>
      </c>
      <c r="E54" s="2"/>
      <c r="F54" s="2">
        <v>30</v>
      </c>
      <c r="G54" s="2">
        <v>15</v>
      </c>
      <c r="H54" s="2" t="s">
        <v>1563</v>
      </c>
      <c r="I54" s="2" t="s">
        <v>1682</v>
      </c>
      <c r="J54" s="2" t="s">
        <v>1683</v>
      </c>
      <c r="K54" s="2" t="s">
        <v>1684</v>
      </c>
      <c r="L54" s="2" t="s">
        <v>1685</v>
      </c>
      <c r="M54" s="2" t="s">
        <v>1686</v>
      </c>
    </row>
    <row r="55" spans="1:13" ht="28">
      <c r="A55" s="2" t="s">
        <v>221</v>
      </c>
      <c r="B55" s="2" t="s">
        <v>1036</v>
      </c>
      <c r="C55" s="2" t="s">
        <v>1492</v>
      </c>
      <c r="D55" s="2" t="s">
        <v>1592</v>
      </c>
      <c r="E55" s="2"/>
      <c r="F55" s="2">
        <v>30</v>
      </c>
      <c r="G55" s="2">
        <v>9</v>
      </c>
      <c r="H55" s="2" t="s">
        <v>1563</v>
      </c>
      <c r="I55" s="2" t="s">
        <v>1687</v>
      </c>
      <c r="J55" s="2" t="s">
        <v>1510</v>
      </c>
      <c r="K55" s="2" t="s">
        <v>1688</v>
      </c>
      <c r="L55" s="2" t="s">
        <v>1581</v>
      </c>
      <c r="M55" s="2" t="s">
        <v>1689</v>
      </c>
    </row>
    <row r="56" spans="1:13" ht="28">
      <c r="A56" s="2" t="s">
        <v>221</v>
      </c>
      <c r="B56" s="2" t="s">
        <v>1036</v>
      </c>
      <c r="C56" s="2" t="s">
        <v>1492</v>
      </c>
      <c r="D56" s="2" t="s">
        <v>1690</v>
      </c>
      <c r="E56" s="2"/>
      <c r="F56" s="2">
        <v>35</v>
      </c>
      <c r="G56" s="2">
        <v>18</v>
      </c>
      <c r="H56" s="2" t="s">
        <v>1494</v>
      </c>
      <c r="I56" s="2" t="s">
        <v>1691</v>
      </c>
      <c r="J56" s="2" t="s">
        <v>1496</v>
      </c>
      <c r="K56" s="2" t="s">
        <v>1692</v>
      </c>
      <c r="L56" s="2" t="s">
        <v>1581</v>
      </c>
      <c r="M56" s="2" t="s">
        <v>1693</v>
      </c>
    </row>
    <row r="57" spans="1:13" ht="28">
      <c r="A57" s="2" t="s">
        <v>221</v>
      </c>
      <c r="B57" s="2" t="s">
        <v>1036</v>
      </c>
      <c r="C57" s="2" t="s">
        <v>1492</v>
      </c>
      <c r="D57" s="2" t="s">
        <v>1592</v>
      </c>
      <c r="E57" s="2"/>
      <c r="F57" s="2">
        <v>60</v>
      </c>
      <c r="G57" s="2">
        <v>16</v>
      </c>
      <c r="H57" s="2" t="s">
        <v>1526</v>
      </c>
      <c r="I57" s="2" t="s">
        <v>1694</v>
      </c>
      <c r="J57" s="2" t="s">
        <v>1510</v>
      </c>
      <c r="K57" s="2" t="s">
        <v>1695</v>
      </c>
      <c r="L57" s="2" t="s">
        <v>1581</v>
      </c>
      <c r="M57" s="2" t="s">
        <v>1696</v>
      </c>
    </row>
    <row r="58" spans="1:13" ht="28">
      <c r="A58" s="2" t="s">
        <v>26</v>
      </c>
      <c r="B58" s="2" t="s">
        <v>1044</v>
      </c>
      <c r="C58" s="2" t="s">
        <v>1492</v>
      </c>
      <c r="D58" s="2" t="s">
        <v>1697</v>
      </c>
      <c r="E58" s="2"/>
      <c r="F58" s="2">
        <v>30</v>
      </c>
      <c r="G58" s="2">
        <v>7</v>
      </c>
      <c r="H58" s="2" t="s">
        <v>1494</v>
      </c>
      <c r="I58" s="2" t="s">
        <v>1698</v>
      </c>
      <c r="J58" s="2" t="s">
        <v>1510</v>
      </c>
      <c r="K58" s="2" t="s">
        <v>1699</v>
      </c>
      <c r="L58" s="2" t="s">
        <v>1581</v>
      </c>
      <c r="M58" s="2" t="s">
        <v>1700</v>
      </c>
    </row>
    <row r="59" spans="1:13" ht="28">
      <c r="A59" s="2" t="s">
        <v>26</v>
      </c>
      <c r="B59" s="2" t="s">
        <v>1048</v>
      </c>
      <c r="C59" s="2" t="s">
        <v>1492</v>
      </c>
      <c r="D59" s="2" t="s">
        <v>1701</v>
      </c>
      <c r="E59" s="2"/>
      <c r="F59" s="2">
        <v>22</v>
      </c>
      <c r="G59" s="2">
        <v>3.9</v>
      </c>
      <c r="H59" s="2" t="s">
        <v>1702</v>
      </c>
      <c r="I59" s="2" t="s">
        <v>1703</v>
      </c>
      <c r="J59" s="2" t="s">
        <v>1510</v>
      </c>
      <c r="K59" s="2" t="s">
        <v>1704</v>
      </c>
      <c r="L59" s="2" t="s">
        <v>1581</v>
      </c>
      <c r="M59" s="2" t="s">
        <v>1705</v>
      </c>
    </row>
    <row r="60" spans="1:13" ht="28">
      <c r="A60" s="2" t="s">
        <v>26</v>
      </c>
      <c r="B60" s="2" t="s">
        <v>1048</v>
      </c>
      <c r="C60" s="2" t="s">
        <v>1492</v>
      </c>
      <c r="D60" s="2" t="s">
        <v>1706</v>
      </c>
      <c r="E60" s="2"/>
      <c r="F60" s="2">
        <v>60</v>
      </c>
      <c r="G60" s="2">
        <v>8</v>
      </c>
      <c r="H60" s="2" t="s">
        <v>1526</v>
      </c>
      <c r="I60" s="2" t="s">
        <v>1707</v>
      </c>
      <c r="J60" s="2" t="s">
        <v>1510</v>
      </c>
      <c r="K60" s="2" t="s">
        <v>1708</v>
      </c>
      <c r="L60" s="2" t="s">
        <v>1581</v>
      </c>
      <c r="M60" s="2" t="s">
        <v>1709</v>
      </c>
    </row>
    <row r="61" spans="1:13" ht="28">
      <c r="A61" s="2" t="s">
        <v>262</v>
      </c>
      <c r="B61" s="2" t="s">
        <v>1080</v>
      </c>
      <c r="C61" s="2" t="s">
        <v>1492</v>
      </c>
      <c r="D61" s="2" t="s">
        <v>1616</v>
      </c>
      <c r="E61" s="2"/>
      <c r="F61" s="2">
        <v>60</v>
      </c>
      <c r="G61" s="2">
        <v>5</v>
      </c>
      <c r="H61" s="2" t="s">
        <v>1526</v>
      </c>
      <c r="I61" s="2" t="s">
        <v>1710</v>
      </c>
      <c r="J61" s="2" t="s">
        <v>1510</v>
      </c>
      <c r="K61" s="2" t="s">
        <v>1711</v>
      </c>
      <c r="L61" s="2" t="s">
        <v>1581</v>
      </c>
      <c r="M61" s="2" t="s">
        <v>1712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3" width="30" customWidth="1"/>
    <col min="4" max="4" width="42" customWidth="1"/>
    <col min="5" max="5" width="22" customWidth="1"/>
    <col min="6" max="6" width="24" customWidth="1"/>
    <col min="7" max="7" width="58" customWidth="1"/>
    <col min="8" max="8" width="24" customWidth="1"/>
    <col min="9" max="9" width="52" customWidth="1"/>
    <col min="10" max="10" width="48" customWidth="1"/>
  </cols>
  <sheetData>
    <row r="1" spans="1:10" ht="28">
      <c r="A1" s="11" t="s">
        <v>1009</v>
      </c>
      <c r="B1" s="11" t="s">
        <v>1010</v>
      </c>
      <c r="C1" s="11" t="s">
        <v>1713</v>
      </c>
      <c r="D1" s="11" t="s">
        <v>1714</v>
      </c>
      <c r="E1" s="11" t="s">
        <v>1715</v>
      </c>
      <c r="F1" s="11" t="s">
        <v>1716</v>
      </c>
      <c r="G1" s="11" t="s">
        <v>191</v>
      </c>
      <c r="H1" s="11" t="s">
        <v>800</v>
      </c>
      <c r="I1" s="11" t="s">
        <v>1717</v>
      </c>
      <c r="J1" s="11" t="s">
        <v>802</v>
      </c>
    </row>
    <row r="2" spans="1:10" ht="28">
      <c r="A2" s="2" t="s">
        <v>221</v>
      </c>
      <c r="B2" s="2" t="s">
        <v>1040</v>
      </c>
      <c r="C2" s="2" t="s">
        <v>1718</v>
      </c>
      <c r="D2" s="2" t="s">
        <v>1719</v>
      </c>
      <c r="E2" s="2">
        <v>113.4</v>
      </c>
      <c r="F2" s="2" t="s">
        <v>1720</v>
      </c>
      <c r="G2" s="2" t="s">
        <v>1721</v>
      </c>
      <c r="H2" s="2" t="s">
        <v>1302</v>
      </c>
      <c r="I2" s="2" t="s">
        <v>1722</v>
      </c>
      <c r="J2" s="2" t="s">
        <v>1723</v>
      </c>
    </row>
    <row r="3" spans="1:10" ht="28">
      <c r="A3" s="2" t="s">
        <v>221</v>
      </c>
      <c r="B3" s="2" t="s">
        <v>1040</v>
      </c>
      <c r="C3" s="2" t="s">
        <v>1718</v>
      </c>
      <c r="D3" s="2" t="s">
        <v>1724</v>
      </c>
      <c r="E3" s="2">
        <v>108.9</v>
      </c>
      <c r="F3" s="2" t="s">
        <v>1720</v>
      </c>
      <c r="G3" s="2" t="s">
        <v>1721</v>
      </c>
      <c r="H3" s="2" t="s">
        <v>1302</v>
      </c>
      <c r="I3" s="2" t="s">
        <v>1725</v>
      </c>
      <c r="J3" s="2" t="s">
        <v>1726</v>
      </c>
    </row>
    <row r="4" spans="1:10" ht="28">
      <c r="A4" s="2" t="s">
        <v>221</v>
      </c>
      <c r="B4" s="2" t="s">
        <v>1040</v>
      </c>
      <c r="C4" s="2" t="s">
        <v>1718</v>
      </c>
      <c r="D4" s="2" t="s">
        <v>1727</v>
      </c>
      <c r="E4" s="2">
        <v>84.9</v>
      </c>
      <c r="F4" s="2" t="s">
        <v>1720</v>
      </c>
      <c r="G4" s="2" t="s">
        <v>1721</v>
      </c>
      <c r="H4" s="2" t="s">
        <v>1302</v>
      </c>
      <c r="I4" s="2" t="s">
        <v>1725</v>
      </c>
      <c r="J4" s="2" t="s">
        <v>1726</v>
      </c>
    </row>
    <row r="5" spans="1:10" ht="28">
      <c r="A5" s="2" t="s">
        <v>26</v>
      </c>
      <c r="B5" s="2" t="s">
        <v>1044</v>
      </c>
      <c r="C5" s="2" t="s">
        <v>1718</v>
      </c>
      <c r="D5" s="2" t="s">
        <v>1728</v>
      </c>
      <c r="E5" s="2">
        <v>73.599999999999994</v>
      </c>
      <c r="F5" s="2" t="s">
        <v>1720</v>
      </c>
      <c r="G5" s="2" t="s">
        <v>1729</v>
      </c>
      <c r="H5" s="2" t="s">
        <v>1302</v>
      </c>
      <c r="I5" s="2" t="s">
        <v>1725</v>
      </c>
      <c r="J5" s="2" t="s">
        <v>1726</v>
      </c>
    </row>
    <row r="6" spans="1:10" ht="28">
      <c r="A6" s="2" t="s">
        <v>26</v>
      </c>
      <c r="B6" s="2" t="s">
        <v>1044</v>
      </c>
      <c r="C6" s="2" t="s">
        <v>1718</v>
      </c>
      <c r="D6" s="2" t="s">
        <v>1730</v>
      </c>
      <c r="E6" s="2">
        <v>56.7</v>
      </c>
      <c r="F6" s="2" t="s">
        <v>1720</v>
      </c>
      <c r="G6" s="2" t="s">
        <v>1729</v>
      </c>
      <c r="H6" s="2" t="s">
        <v>1302</v>
      </c>
      <c r="I6" s="2" t="s">
        <v>1725</v>
      </c>
      <c r="J6" s="2" t="s">
        <v>1726</v>
      </c>
    </row>
    <row r="7" spans="1:10" ht="28">
      <c r="A7" s="2" t="s">
        <v>262</v>
      </c>
      <c r="B7" s="2" t="s">
        <v>1063</v>
      </c>
      <c r="C7" s="2" t="s">
        <v>1718</v>
      </c>
      <c r="D7" s="2" t="s">
        <v>1731</v>
      </c>
      <c r="E7" s="2">
        <v>43.7</v>
      </c>
      <c r="F7" s="2" t="s">
        <v>1720</v>
      </c>
      <c r="G7" s="2" t="s">
        <v>1732</v>
      </c>
      <c r="H7" s="2" t="s">
        <v>1302</v>
      </c>
      <c r="I7" s="2" t="s">
        <v>1725</v>
      </c>
      <c r="J7" s="2" t="s">
        <v>1733</v>
      </c>
    </row>
    <row r="8" spans="1:10" ht="28">
      <c r="A8" s="2" t="s">
        <v>262</v>
      </c>
      <c r="B8" s="2" t="s">
        <v>1063</v>
      </c>
      <c r="C8" s="2" t="s">
        <v>1718</v>
      </c>
      <c r="D8" s="2" t="s">
        <v>1734</v>
      </c>
      <c r="E8" s="2">
        <v>34</v>
      </c>
      <c r="F8" s="2" t="s">
        <v>1720</v>
      </c>
      <c r="G8" s="2" t="s">
        <v>1732</v>
      </c>
      <c r="H8" s="2" t="s">
        <v>1302</v>
      </c>
      <c r="I8" s="2" t="s">
        <v>1725</v>
      </c>
      <c r="J8" s="2" t="s">
        <v>1735</v>
      </c>
    </row>
    <row r="9" spans="1:10" ht="28">
      <c r="A9" s="2" t="s">
        <v>262</v>
      </c>
      <c r="B9" s="2" t="s">
        <v>1076</v>
      </c>
      <c r="C9" s="2" t="s">
        <v>1718</v>
      </c>
      <c r="D9" s="2" t="s">
        <v>1736</v>
      </c>
      <c r="E9" s="2">
        <v>86.1</v>
      </c>
      <c r="F9" s="2" t="s">
        <v>1720</v>
      </c>
      <c r="G9" s="2" t="s">
        <v>1732</v>
      </c>
      <c r="H9" s="2" t="s">
        <v>1302</v>
      </c>
      <c r="I9" s="2" t="s">
        <v>1725</v>
      </c>
      <c r="J9" s="2" t="s">
        <v>1735</v>
      </c>
    </row>
    <row r="10" spans="1:10" ht="28">
      <c r="A10" s="2" t="s">
        <v>262</v>
      </c>
      <c r="B10" s="2" t="s">
        <v>1076</v>
      </c>
      <c r="C10" s="2" t="s">
        <v>1718</v>
      </c>
      <c r="D10" s="2" t="s">
        <v>1737</v>
      </c>
      <c r="E10" s="2">
        <v>66.3</v>
      </c>
      <c r="F10" s="2" t="s">
        <v>1720</v>
      </c>
      <c r="G10" s="2" t="s">
        <v>1732</v>
      </c>
      <c r="H10" s="2" t="s">
        <v>1302</v>
      </c>
      <c r="I10" s="2" t="s">
        <v>1725</v>
      </c>
      <c r="J10" s="2" t="s">
        <v>1735</v>
      </c>
    </row>
    <row r="11" spans="1:10" ht="28">
      <c r="A11" s="2" t="s">
        <v>262</v>
      </c>
      <c r="B11" s="2" t="s">
        <v>1072</v>
      </c>
      <c r="C11" s="2" t="s">
        <v>1718</v>
      </c>
      <c r="D11" s="2" t="s">
        <v>1738</v>
      </c>
      <c r="E11" s="2">
        <v>63.8</v>
      </c>
      <c r="F11" s="2" t="s">
        <v>1720</v>
      </c>
      <c r="G11" s="2" t="s">
        <v>1732</v>
      </c>
      <c r="H11" s="2" t="s">
        <v>1302</v>
      </c>
      <c r="I11" s="2" t="s">
        <v>1725</v>
      </c>
      <c r="J11" s="2" t="s">
        <v>1735</v>
      </c>
    </row>
    <row r="12" spans="1:10" ht="28">
      <c r="A12" s="2" t="s">
        <v>262</v>
      </c>
      <c r="B12" s="2" t="s">
        <v>1072</v>
      </c>
      <c r="C12" s="2" t="s">
        <v>1718</v>
      </c>
      <c r="D12" s="2" t="s">
        <v>1739</v>
      </c>
      <c r="E12" s="2">
        <v>79.7</v>
      </c>
      <c r="F12" s="2" t="s">
        <v>1720</v>
      </c>
      <c r="G12" s="2" t="s">
        <v>1732</v>
      </c>
      <c r="H12" s="2" t="s">
        <v>1302</v>
      </c>
      <c r="I12" s="2" t="s">
        <v>1725</v>
      </c>
      <c r="J12" s="2" t="s">
        <v>1735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30" customWidth="1"/>
    <col min="3" max="5" width="18" customWidth="1"/>
    <col min="6" max="6" width="52" customWidth="1"/>
    <col min="7" max="8" width="18" customWidth="1"/>
    <col min="9" max="9" width="24" customWidth="1"/>
    <col min="10" max="11" width="22" customWidth="1"/>
    <col min="12" max="12" width="28" customWidth="1"/>
    <col min="13" max="13" width="60" customWidth="1"/>
    <col min="14" max="14" width="52" customWidth="1"/>
  </cols>
  <sheetData>
    <row r="1" spans="1:14" ht="28">
      <c r="A1" s="12" t="s">
        <v>1009</v>
      </c>
      <c r="B1" s="12" t="s">
        <v>1010</v>
      </c>
      <c r="C1" s="12" t="s">
        <v>715</v>
      </c>
      <c r="D1" s="12" t="s">
        <v>1740</v>
      </c>
      <c r="E1" s="12" t="s">
        <v>1741</v>
      </c>
      <c r="F1" s="12" t="s">
        <v>1742</v>
      </c>
      <c r="G1" s="12" t="s">
        <v>1743</v>
      </c>
      <c r="H1" s="12" t="s">
        <v>1744</v>
      </c>
      <c r="I1" s="12" t="s">
        <v>1745</v>
      </c>
      <c r="J1" s="12" t="s">
        <v>1746</v>
      </c>
      <c r="K1" s="12" t="s">
        <v>1747</v>
      </c>
      <c r="L1" s="12" t="s">
        <v>1748</v>
      </c>
      <c r="M1" s="12" t="s">
        <v>1749</v>
      </c>
      <c r="N1" s="12" t="s">
        <v>802</v>
      </c>
    </row>
    <row r="2" spans="1:14" ht="28">
      <c r="A2" s="2" t="s">
        <v>221</v>
      </c>
      <c r="B2" s="2" t="s">
        <v>1019</v>
      </c>
      <c r="C2" s="2">
        <v>3</v>
      </c>
      <c r="D2" s="2">
        <v>3</v>
      </c>
      <c r="E2" s="2">
        <v>1</v>
      </c>
      <c r="F2" s="2" t="s">
        <v>1297</v>
      </c>
      <c r="G2" s="2">
        <v>1</v>
      </c>
      <c r="H2" s="2">
        <v>1</v>
      </c>
      <c r="I2" s="2">
        <v>1</v>
      </c>
      <c r="J2" s="2">
        <v>0</v>
      </c>
      <c r="K2" s="2">
        <v>5</v>
      </c>
      <c r="L2" s="2" t="s">
        <v>1750</v>
      </c>
      <c r="M2" s="2" t="s">
        <v>1751</v>
      </c>
      <c r="N2" s="2" t="s">
        <v>1752</v>
      </c>
    </row>
    <row r="3" spans="1:14" ht="28">
      <c r="A3" s="2" t="s">
        <v>221</v>
      </c>
      <c r="B3" s="2" t="s">
        <v>1026</v>
      </c>
      <c r="C3" s="2">
        <v>3</v>
      </c>
      <c r="D3" s="2">
        <v>3</v>
      </c>
      <c r="E3" s="2">
        <v>2</v>
      </c>
      <c r="F3" s="2" t="s">
        <v>1753</v>
      </c>
      <c r="G3" s="2">
        <v>2</v>
      </c>
      <c r="H3" s="2">
        <v>1</v>
      </c>
      <c r="I3" s="2">
        <v>3</v>
      </c>
      <c r="J3" s="2">
        <v>0</v>
      </c>
      <c r="K3" s="2">
        <v>6</v>
      </c>
      <c r="L3" s="2" t="s">
        <v>1754</v>
      </c>
      <c r="M3" s="2" t="s">
        <v>1751</v>
      </c>
      <c r="N3" s="2" t="s">
        <v>1752</v>
      </c>
    </row>
    <row r="4" spans="1:14" ht="28">
      <c r="A4" s="2" t="s">
        <v>221</v>
      </c>
      <c r="B4" s="2" t="s">
        <v>1031</v>
      </c>
      <c r="C4" s="2">
        <v>2</v>
      </c>
      <c r="D4" s="2">
        <v>2</v>
      </c>
      <c r="E4" s="2">
        <v>2</v>
      </c>
      <c r="F4" s="2" t="s">
        <v>1755</v>
      </c>
      <c r="G4" s="2">
        <v>2</v>
      </c>
      <c r="H4" s="2">
        <v>2</v>
      </c>
      <c r="I4" s="2">
        <v>2</v>
      </c>
      <c r="J4" s="2">
        <v>0</v>
      </c>
      <c r="K4" s="2">
        <v>6</v>
      </c>
      <c r="L4" s="2" t="s">
        <v>1750</v>
      </c>
      <c r="M4" s="2" t="s">
        <v>1751</v>
      </c>
      <c r="N4" s="2" t="s">
        <v>1752</v>
      </c>
    </row>
    <row r="5" spans="1:14" ht="28">
      <c r="A5" s="2" t="s">
        <v>221</v>
      </c>
      <c r="B5" s="2" t="s">
        <v>1036</v>
      </c>
      <c r="C5" s="2">
        <v>2</v>
      </c>
      <c r="D5" s="2">
        <v>2</v>
      </c>
      <c r="E5" s="2">
        <v>2</v>
      </c>
      <c r="F5" s="2" t="s">
        <v>1755</v>
      </c>
      <c r="G5" s="2">
        <v>2</v>
      </c>
      <c r="H5" s="2">
        <v>1</v>
      </c>
      <c r="I5" s="2">
        <v>0</v>
      </c>
      <c r="J5" s="2">
        <v>0</v>
      </c>
      <c r="K5" s="2">
        <v>5</v>
      </c>
      <c r="L5" s="2" t="s">
        <v>1750</v>
      </c>
      <c r="M5" s="2" t="s">
        <v>1751</v>
      </c>
      <c r="N5" s="2" t="s">
        <v>1752</v>
      </c>
    </row>
    <row r="6" spans="1:14" ht="28">
      <c r="A6" s="2" t="s">
        <v>221</v>
      </c>
      <c r="B6" s="2" t="s">
        <v>1040</v>
      </c>
      <c r="C6" s="2">
        <v>2</v>
      </c>
      <c r="D6" s="2">
        <v>2</v>
      </c>
      <c r="E6" s="2">
        <v>3</v>
      </c>
      <c r="F6" s="2" t="s">
        <v>1756</v>
      </c>
      <c r="G6" s="2">
        <v>3</v>
      </c>
      <c r="H6" s="2">
        <v>2</v>
      </c>
      <c r="I6" s="2">
        <v>2</v>
      </c>
      <c r="J6" s="2">
        <v>3</v>
      </c>
      <c r="K6" s="2">
        <v>8</v>
      </c>
      <c r="L6" s="2" t="s">
        <v>1750</v>
      </c>
      <c r="M6" s="2" t="s">
        <v>1757</v>
      </c>
      <c r="N6" s="2" t="s">
        <v>1752</v>
      </c>
    </row>
    <row r="7" spans="1:14" ht="28">
      <c r="A7" s="2" t="s">
        <v>26</v>
      </c>
      <c r="B7" s="2" t="s">
        <v>1044</v>
      </c>
      <c r="C7" s="2">
        <v>3</v>
      </c>
      <c r="D7" s="2">
        <v>3</v>
      </c>
      <c r="E7" s="2">
        <v>2</v>
      </c>
      <c r="F7" s="2" t="s">
        <v>1758</v>
      </c>
      <c r="G7" s="2">
        <v>2</v>
      </c>
      <c r="H7" s="2">
        <v>1</v>
      </c>
      <c r="I7" s="2">
        <v>0</v>
      </c>
      <c r="J7" s="2">
        <v>2</v>
      </c>
      <c r="K7" s="2">
        <v>7</v>
      </c>
      <c r="L7" s="2" t="s">
        <v>1750</v>
      </c>
      <c r="M7" s="2" t="s">
        <v>1757</v>
      </c>
      <c r="N7" s="2" t="s">
        <v>1752</v>
      </c>
    </row>
    <row r="8" spans="1:14" ht="28">
      <c r="A8" s="2" t="s">
        <v>26</v>
      </c>
      <c r="B8" s="2" t="s">
        <v>1048</v>
      </c>
      <c r="C8" s="2">
        <v>3</v>
      </c>
      <c r="D8" s="2">
        <v>3</v>
      </c>
      <c r="E8" s="2">
        <v>1</v>
      </c>
      <c r="F8" s="2" t="s">
        <v>1297</v>
      </c>
      <c r="G8" s="2">
        <v>1</v>
      </c>
      <c r="H8" s="2">
        <v>0</v>
      </c>
      <c r="I8" s="2">
        <v>0</v>
      </c>
      <c r="J8" s="2">
        <v>0</v>
      </c>
      <c r="K8" s="2">
        <v>4</v>
      </c>
      <c r="L8" s="2" t="s">
        <v>1750</v>
      </c>
      <c r="M8" s="2" t="s">
        <v>1751</v>
      </c>
      <c r="N8" s="2" t="s">
        <v>1752</v>
      </c>
    </row>
    <row r="9" spans="1:14" ht="28">
      <c r="A9" s="2" t="s">
        <v>26</v>
      </c>
      <c r="B9" s="2" t="s">
        <v>1052</v>
      </c>
      <c r="C9" s="2">
        <v>2</v>
      </c>
      <c r="D9" s="2">
        <v>2</v>
      </c>
      <c r="E9" s="2">
        <v>4</v>
      </c>
      <c r="F9" s="2" t="s">
        <v>1759</v>
      </c>
      <c r="G9" s="2">
        <v>1</v>
      </c>
      <c r="H9" s="2">
        <v>2</v>
      </c>
      <c r="I9" s="2">
        <v>3</v>
      </c>
      <c r="J9" s="2">
        <v>0</v>
      </c>
      <c r="K9" s="2">
        <v>4</v>
      </c>
      <c r="L9" s="2" t="s">
        <v>1754</v>
      </c>
      <c r="M9" s="2" t="s">
        <v>1751</v>
      </c>
      <c r="N9" s="2" t="s">
        <v>1752</v>
      </c>
    </row>
    <row r="10" spans="1:14" ht="28">
      <c r="A10" s="2" t="s">
        <v>26</v>
      </c>
      <c r="B10" s="2" t="s">
        <v>1056</v>
      </c>
      <c r="C10" s="2">
        <v>2</v>
      </c>
      <c r="D10" s="2">
        <v>2</v>
      </c>
      <c r="E10" s="2">
        <v>1</v>
      </c>
      <c r="F10" s="2" t="s">
        <v>1363</v>
      </c>
      <c r="G10" s="2">
        <v>1</v>
      </c>
      <c r="H10" s="2">
        <v>2</v>
      </c>
      <c r="I10" s="2">
        <v>3</v>
      </c>
      <c r="J10" s="2">
        <v>0</v>
      </c>
      <c r="K10" s="2">
        <v>4</v>
      </c>
      <c r="L10" s="2" t="s">
        <v>1754</v>
      </c>
      <c r="M10" s="2" t="s">
        <v>1751</v>
      </c>
      <c r="N10" s="2" t="s">
        <v>1752</v>
      </c>
    </row>
    <row r="11" spans="1:14" ht="28">
      <c r="A11" s="2" t="s">
        <v>26</v>
      </c>
      <c r="B11" s="2" t="s">
        <v>510</v>
      </c>
      <c r="C11" s="2">
        <v>2</v>
      </c>
      <c r="D11" s="2">
        <v>2</v>
      </c>
      <c r="E11" s="2">
        <v>2</v>
      </c>
      <c r="F11" s="2" t="s">
        <v>1760</v>
      </c>
      <c r="G11" s="2">
        <v>1</v>
      </c>
      <c r="H11" s="2">
        <v>0</v>
      </c>
      <c r="I11" s="2">
        <v>0</v>
      </c>
      <c r="J11" s="2">
        <v>0</v>
      </c>
      <c r="K11" s="2">
        <v>3</v>
      </c>
      <c r="L11" s="2" t="s">
        <v>1750</v>
      </c>
      <c r="M11" s="2" t="s">
        <v>1751</v>
      </c>
      <c r="N11" s="2" t="s">
        <v>1752</v>
      </c>
    </row>
    <row r="12" spans="1:14" ht="28">
      <c r="A12" s="2" t="s">
        <v>262</v>
      </c>
      <c r="B12" s="2" t="s">
        <v>1063</v>
      </c>
      <c r="C12" s="2">
        <v>3</v>
      </c>
      <c r="D12" s="2">
        <v>3</v>
      </c>
      <c r="E12" s="2">
        <v>2</v>
      </c>
      <c r="F12" s="2" t="s">
        <v>1377</v>
      </c>
      <c r="G12" s="2">
        <v>2</v>
      </c>
      <c r="H12" s="2">
        <v>1</v>
      </c>
      <c r="I12" s="2">
        <v>0</v>
      </c>
      <c r="J12" s="2">
        <v>2</v>
      </c>
      <c r="K12" s="2">
        <v>7</v>
      </c>
      <c r="L12" s="2" t="s">
        <v>1750</v>
      </c>
      <c r="M12" s="2" t="s">
        <v>1757</v>
      </c>
      <c r="N12" s="2" t="s">
        <v>1752</v>
      </c>
    </row>
    <row r="13" spans="1:14" ht="28">
      <c r="A13" s="2" t="s">
        <v>262</v>
      </c>
      <c r="B13" s="2" t="s">
        <v>1067</v>
      </c>
      <c r="C13" s="2">
        <v>3</v>
      </c>
      <c r="D13" s="2">
        <v>3</v>
      </c>
      <c r="E13" s="2">
        <v>2</v>
      </c>
      <c r="F13" s="2" t="s">
        <v>1761</v>
      </c>
      <c r="G13" s="2">
        <v>2</v>
      </c>
      <c r="H13" s="2">
        <v>2</v>
      </c>
      <c r="I13" s="2">
        <v>0</v>
      </c>
      <c r="J13" s="2">
        <v>0</v>
      </c>
      <c r="K13" s="2">
        <v>7</v>
      </c>
      <c r="L13" s="2" t="s">
        <v>1750</v>
      </c>
      <c r="M13" s="2" t="s">
        <v>1751</v>
      </c>
      <c r="N13" s="2" t="s">
        <v>1752</v>
      </c>
    </row>
    <row r="14" spans="1:14" ht="28">
      <c r="A14" s="2" t="s">
        <v>262</v>
      </c>
      <c r="B14" s="2" t="s">
        <v>1072</v>
      </c>
      <c r="C14" s="2">
        <v>4</v>
      </c>
      <c r="D14" s="2">
        <v>4</v>
      </c>
      <c r="E14" s="2">
        <v>2</v>
      </c>
      <c r="F14" s="2" t="s">
        <v>1761</v>
      </c>
      <c r="G14" s="2">
        <v>2</v>
      </c>
      <c r="H14" s="2">
        <v>2</v>
      </c>
      <c r="I14" s="2">
        <v>1</v>
      </c>
      <c r="J14" s="2">
        <v>2</v>
      </c>
      <c r="K14" s="2">
        <v>9</v>
      </c>
      <c r="L14" s="2" t="s">
        <v>1750</v>
      </c>
      <c r="M14" s="2" t="s">
        <v>1757</v>
      </c>
      <c r="N14" s="2" t="s">
        <v>1752</v>
      </c>
    </row>
    <row r="15" spans="1:14" ht="28">
      <c r="A15" s="2" t="s">
        <v>262</v>
      </c>
      <c r="B15" s="2" t="s">
        <v>1076</v>
      </c>
      <c r="C15" s="2">
        <v>2</v>
      </c>
      <c r="D15" s="2">
        <v>2</v>
      </c>
      <c r="E15" s="2">
        <v>6</v>
      </c>
      <c r="F15" s="2" t="s">
        <v>1762</v>
      </c>
      <c r="G15" s="2">
        <v>4</v>
      </c>
      <c r="H15" s="2">
        <v>1</v>
      </c>
      <c r="I15" s="2">
        <v>0</v>
      </c>
      <c r="J15" s="2">
        <v>2</v>
      </c>
      <c r="K15" s="2">
        <v>8</v>
      </c>
      <c r="L15" s="2" t="s">
        <v>1750</v>
      </c>
      <c r="M15" s="2" t="s">
        <v>1757</v>
      </c>
      <c r="N15" s="2" t="s">
        <v>1752</v>
      </c>
    </row>
    <row r="16" spans="1:14" ht="28">
      <c r="A16" s="2" t="s">
        <v>262</v>
      </c>
      <c r="B16" s="2" t="s">
        <v>1080</v>
      </c>
      <c r="C16" s="2">
        <v>2</v>
      </c>
      <c r="D16" s="2">
        <v>2</v>
      </c>
      <c r="E16" s="2">
        <v>1</v>
      </c>
      <c r="F16" s="2" t="s">
        <v>1297</v>
      </c>
      <c r="G16" s="2">
        <v>1</v>
      </c>
      <c r="H16" s="2">
        <v>1</v>
      </c>
      <c r="I16" s="2">
        <v>0</v>
      </c>
      <c r="J16" s="2">
        <v>0</v>
      </c>
      <c r="K16" s="2">
        <v>4</v>
      </c>
      <c r="L16" s="2" t="s">
        <v>1750</v>
      </c>
      <c r="M16" s="2" t="s">
        <v>1751</v>
      </c>
      <c r="N16" s="2" t="s">
        <v>1752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30" customWidth="1"/>
    <col min="3" max="3" width="18" customWidth="1"/>
    <col min="4" max="4" width="38" customWidth="1"/>
    <col min="5" max="5" width="22" customWidth="1"/>
    <col min="6" max="7" width="14" customWidth="1"/>
    <col min="8" max="8" width="20" customWidth="1"/>
    <col min="9" max="10" width="18" customWidth="1"/>
    <col min="11" max="11" width="22" customWidth="1"/>
    <col min="12" max="12" width="30" customWidth="1"/>
    <col min="13" max="13" width="70" customWidth="1"/>
  </cols>
  <sheetData>
    <row r="1" spans="1:13" ht="28">
      <c r="A1" s="13" t="s">
        <v>1009</v>
      </c>
      <c r="B1" s="13" t="s">
        <v>1010</v>
      </c>
      <c r="C1" s="13" t="s">
        <v>1763</v>
      </c>
      <c r="D1" s="13" t="s">
        <v>1764</v>
      </c>
      <c r="E1" s="13" t="s">
        <v>1765</v>
      </c>
      <c r="F1" s="13" t="s">
        <v>1766</v>
      </c>
      <c r="G1" s="13" t="s">
        <v>1767</v>
      </c>
      <c r="H1" s="13" t="s">
        <v>1768</v>
      </c>
      <c r="I1" s="13" t="s">
        <v>1769</v>
      </c>
      <c r="J1" s="13" t="s">
        <v>1770</v>
      </c>
      <c r="K1" s="13" t="s">
        <v>1771</v>
      </c>
      <c r="L1" s="13" t="s">
        <v>1772</v>
      </c>
      <c r="M1" s="13" t="s">
        <v>445</v>
      </c>
    </row>
    <row r="2" spans="1:13" ht="42">
      <c r="A2" s="2" t="s">
        <v>221</v>
      </c>
      <c r="B2" s="2" t="s">
        <v>1019</v>
      </c>
      <c r="C2" s="2">
        <v>3</v>
      </c>
      <c r="D2" s="2" t="s">
        <v>1773</v>
      </c>
      <c r="E2" s="2">
        <v>10</v>
      </c>
      <c r="F2" s="2">
        <v>7</v>
      </c>
      <c r="G2" s="2">
        <v>15</v>
      </c>
      <c r="H2" s="2">
        <v>1</v>
      </c>
      <c r="I2" s="2">
        <v>5</v>
      </c>
      <c r="J2" s="2">
        <v>2</v>
      </c>
      <c r="K2" s="2" t="s">
        <v>1774</v>
      </c>
      <c r="L2" s="2" t="s">
        <v>1775</v>
      </c>
      <c r="M2" s="2" t="s">
        <v>1776</v>
      </c>
    </row>
    <row r="3" spans="1:13" ht="42">
      <c r="A3" s="2" t="s">
        <v>221</v>
      </c>
      <c r="B3" s="2" t="s">
        <v>1026</v>
      </c>
      <c r="C3" s="2">
        <v>3</v>
      </c>
      <c r="D3" s="2" t="s">
        <v>1777</v>
      </c>
      <c r="E3" s="2">
        <v>10</v>
      </c>
      <c r="F3" s="2">
        <v>10</v>
      </c>
      <c r="G3" s="2">
        <v>11</v>
      </c>
      <c r="H3" s="2">
        <v>0</v>
      </c>
      <c r="I3" s="2">
        <v>4</v>
      </c>
      <c r="J3" s="2">
        <v>1</v>
      </c>
      <c r="K3" s="2" t="s">
        <v>1774</v>
      </c>
      <c r="L3" s="2" t="s">
        <v>1775</v>
      </c>
      <c r="M3" s="2" t="s">
        <v>1776</v>
      </c>
    </row>
    <row r="4" spans="1:13" ht="42">
      <c r="A4" s="2" t="s">
        <v>221</v>
      </c>
      <c r="B4" s="2" t="s">
        <v>1031</v>
      </c>
      <c r="C4" s="2">
        <v>3</v>
      </c>
      <c r="D4" s="2" t="s">
        <v>1778</v>
      </c>
      <c r="E4" s="2">
        <v>15</v>
      </c>
      <c r="F4" s="2">
        <v>10</v>
      </c>
      <c r="G4" s="2">
        <v>20</v>
      </c>
      <c r="H4" s="2">
        <v>1</v>
      </c>
      <c r="I4" s="2">
        <v>6</v>
      </c>
      <c r="J4" s="2">
        <v>4</v>
      </c>
      <c r="K4" s="2" t="s">
        <v>1774</v>
      </c>
      <c r="L4" s="2" t="s">
        <v>1779</v>
      </c>
      <c r="M4" s="2" t="s">
        <v>1776</v>
      </c>
    </row>
    <row r="5" spans="1:13" ht="42">
      <c r="A5" s="2" t="s">
        <v>221</v>
      </c>
      <c r="B5" s="2" t="s">
        <v>1036</v>
      </c>
      <c r="C5" s="2">
        <v>1</v>
      </c>
      <c r="D5" s="2" t="s">
        <v>1780</v>
      </c>
      <c r="E5" s="2">
        <v>9</v>
      </c>
      <c r="F5" s="2">
        <v>9</v>
      </c>
      <c r="G5" s="2">
        <v>9</v>
      </c>
      <c r="H5" s="2">
        <v>1</v>
      </c>
      <c r="I5" s="2">
        <v>4</v>
      </c>
      <c r="J5" s="2">
        <v>2</v>
      </c>
      <c r="K5" s="2" t="s">
        <v>1781</v>
      </c>
      <c r="L5" s="2" t="s">
        <v>1775</v>
      </c>
      <c r="M5" s="2" t="s">
        <v>1776</v>
      </c>
    </row>
    <row r="6" spans="1:13" ht="42">
      <c r="A6" s="2" t="s">
        <v>221</v>
      </c>
      <c r="B6" s="2" t="s">
        <v>1040</v>
      </c>
      <c r="C6" s="2">
        <v>3</v>
      </c>
      <c r="D6" s="2" t="s">
        <v>1782</v>
      </c>
      <c r="E6" s="2">
        <v>13</v>
      </c>
      <c r="F6" s="2">
        <v>10</v>
      </c>
      <c r="G6" s="2">
        <v>25</v>
      </c>
      <c r="H6" s="2">
        <v>3</v>
      </c>
      <c r="I6" s="2">
        <v>6</v>
      </c>
      <c r="J6" s="2">
        <v>3</v>
      </c>
      <c r="K6" s="2" t="s">
        <v>1774</v>
      </c>
      <c r="L6" s="2" t="s">
        <v>1775</v>
      </c>
      <c r="M6" s="2" t="s">
        <v>1776</v>
      </c>
    </row>
    <row r="7" spans="1:13" ht="42">
      <c r="A7" s="2" t="s">
        <v>26</v>
      </c>
      <c r="B7" s="2" t="s">
        <v>1044</v>
      </c>
      <c r="C7" s="2">
        <v>0</v>
      </c>
      <c r="D7" s="2"/>
      <c r="E7" s="2"/>
      <c r="F7" s="2"/>
      <c r="G7" s="2"/>
      <c r="H7" s="2">
        <v>2</v>
      </c>
      <c r="I7" s="2">
        <v>3</v>
      </c>
      <c r="J7" s="2">
        <v>2</v>
      </c>
      <c r="K7" s="2" t="s">
        <v>1781</v>
      </c>
      <c r="L7" s="2" t="s">
        <v>1783</v>
      </c>
      <c r="M7" s="2" t="s">
        <v>1776</v>
      </c>
    </row>
    <row r="8" spans="1:13" ht="42">
      <c r="A8" s="2" t="s">
        <v>26</v>
      </c>
      <c r="B8" s="2" t="s">
        <v>1048</v>
      </c>
      <c r="C8" s="2">
        <v>0</v>
      </c>
      <c r="D8" s="2"/>
      <c r="E8" s="2"/>
      <c r="F8" s="2"/>
      <c r="G8" s="2"/>
      <c r="H8" s="2">
        <v>0</v>
      </c>
      <c r="I8" s="2">
        <v>2</v>
      </c>
      <c r="J8" s="2">
        <v>1</v>
      </c>
      <c r="K8" s="2" t="s">
        <v>1781</v>
      </c>
      <c r="L8" s="2" t="s">
        <v>1783</v>
      </c>
      <c r="M8" s="2" t="s">
        <v>1776</v>
      </c>
    </row>
    <row r="9" spans="1:13" ht="42">
      <c r="A9" s="2" t="s">
        <v>26</v>
      </c>
      <c r="B9" s="2" t="s">
        <v>1052</v>
      </c>
      <c r="C9" s="2">
        <v>3</v>
      </c>
      <c r="D9" s="2" t="s">
        <v>1784</v>
      </c>
      <c r="E9" s="2">
        <v>10</v>
      </c>
      <c r="F9" s="2">
        <v>8</v>
      </c>
      <c r="G9" s="2">
        <v>15</v>
      </c>
      <c r="H9" s="2">
        <v>0</v>
      </c>
      <c r="I9" s="2">
        <v>5</v>
      </c>
      <c r="J9" s="2">
        <v>3</v>
      </c>
      <c r="K9" s="2" t="s">
        <v>1774</v>
      </c>
      <c r="L9" s="2" t="s">
        <v>1775</v>
      </c>
      <c r="M9" s="2" t="s">
        <v>1776</v>
      </c>
    </row>
    <row r="10" spans="1:13" ht="42">
      <c r="A10" s="2" t="s">
        <v>26</v>
      </c>
      <c r="B10" s="2" t="s">
        <v>1056</v>
      </c>
      <c r="C10" s="2">
        <v>3</v>
      </c>
      <c r="D10" s="2" t="s">
        <v>1785</v>
      </c>
      <c r="E10" s="2">
        <v>8</v>
      </c>
      <c r="F10" s="2">
        <v>7</v>
      </c>
      <c r="G10" s="2">
        <v>9</v>
      </c>
      <c r="H10" s="2">
        <v>1</v>
      </c>
      <c r="I10" s="2">
        <v>5</v>
      </c>
      <c r="J10" s="2">
        <v>2</v>
      </c>
      <c r="K10" s="2" t="s">
        <v>1774</v>
      </c>
      <c r="L10" s="2" t="s">
        <v>1775</v>
      </c>
      <c r="M10" s="2" t="s">
        <v>1776</v>
      </c>
    </row>
    <row r="11" spans="1:13" ht="42">
      <c r="A11" s="2" t="s">
        <v>26</v>
      </c>
      <c r="B11" s="2" t="s">
        <v>510</v>
      </c>
      <c r="C11" s="2">
        <v>0</v>
      </c>
      <c r="D11" s="2"/>
      <c r="E11" s="2"/>
      <c r="F11" s="2"/>
      <c r="G11" s="2"/>
      <c r="H11" s="2">
        <v>0</v>
      </c>
      <c r="I11" s="2">
        <v>0</v>
      </c>
      <c r="J11" s="2">
        <v>0</v>
      </c>
      <c r="K11" s="2" t="s">
        <v>1781</v>
      </c>
      <c r="L11" s="2" t="s">
        <v>1783</v>
      </c>
      <c r="M11" s="2" t="s">
        <v>1776</v>
      </c>
    </row>
    <row r="12" spans="1:13" ht="42">
      <c r="A12" s="2" t="s">
        <v>262</v>
      </c>
      <c r="B12" s="2" t="s">
        <v>1063</v>
      </c>
      <c r="C12" s="2">
        <v>0</v>
      </c>
      <c r="D12" s="2"/>
      <c r="E12" s="2"/>
      <c r="F12" s="2"/>
      <c r="G12" s="2"/>
      <c r="H12" s="2">
        <v>0</v>
      </c>
      <c r="I12" s="2">
        <v>1</v>
      </c>
      <c r="J12" s="2">
        <v>1</v>
      </c>
      <c r="K12" s="2" t="s">
        <v>1781</v>
      </c>
      <c r="L12" s="2" t="s">
        <v>1783</v>
      </c>
      <c r="M12" s="2" t="s">
        <v>1776</v>
      </c>
    </row>
    <row r="13" spans="1:13" ht="42">
      <c r="A13" s="2" t="s">
        <v>262</v>
      </c>
      <c r="B13" s="2" t="s">
        <v>1067</v>
      </c>
      <c r="C13" s="2">
        <v>1</v>
      </c>
      <c r="D13" s="2" t="s">
        <v>1786</v>
      </c>
      <c r="E13" s="2">
        <v>2</v>
      </c>
      <c r="F13" s="2">
        <v>2</v>
      </c>
      <c r="G13" s="2">
        <v>2</v>
      </c>
      <c r="H13" s="2">
        <v>1</v>
      </c>
      <c r="I13" s="2">
        <v>4</v>
      </c>
      <c r="J13" s="2">
        <v>2</v>
      </c>
      <c r="K13" s="2" t="s">
        <v>1781</v>
      </c>
      <c r="L13" s="2" t="s">
        <v>1775</v>
      </c>
      <c r="M13" s="2" t="s">
        <v>1776</v>
      </c>
    </row>
    <row r="14" spans="1:13" ht="42">
      <c r="A14" s="2" t="s">
        <v>262</v>
      </c>
      <c r="B14" s="2" t="s">
        <v>1072</v>
      </c>
      <c r="C14" s="2">
        <v>2</v>
      </c>
      <c r="D14" s="2" t="s">
        <v>1787</v>
      </c>
      <c r="E14" s="2">
        <v>8.4</v>
      </c>
      <c r="F14" s="2">
        <v>3.8</v>
      </c>
      <c r="G14" s="2">
        <v>13</v>
      </c>
      <c r="H14" s="2">
        <v>2</v>
      </c>
      <c r="I14" s="2">
        <v>5</v>
      </c>
      <c r="J14" s="2">
        <v>3</v>
      </c>
      <c r="K14" s="2" t="s">
        <v>1781</v>
      </c>
      <c r="L14" s="2" t="s">
        <v>1775</v>
      </c>
      <c r="M14" s="2" t="s">
        <v>1776</v>
      </c>
    </row>
    <row r="15" spans="1:13" ht="42">
      <c r="A15" s="2" t="s">
        <v>262</v>
      </c>
      <c r="B15" s="2" t="s">
        <v>1076</v>
      </c>
      <c r="C15" s="2">
        <v>2</v>
      </c>
      <c r="D15" s="2" t="s">
        <v>1788</v>
      </c>
      <c r="E15" s="2">
        <v>8.5</v>
      </c>
      <c r="F15" s="2">
        <v>8</v>
      </c>
      <c r="G15" s="2">
        <v>9</v>
      </c>
      <c r="H15" s="2">
        <v>1</v>
      </c>
      <c r="I15" s="2">
        <v>4</v>
      </c>
      <c r="J15" s="2">
        <v>4</v>
      </c>
      <c r="K15" s="2" t="s">
        <v>1781</v>
      </c>
      <c r="L15" s="2" t="s">
        <v>1775</v>
      </c>
      <c r="M15" s="2" t="s">
        <v>1776</v>
      </c>
    </row>
    <row r="16" spans="1:13" ht="42">
      <c r="A16" s="2" t="s">
        <v>262</v>
      </c>
      <c r="B16" s="2" t="s">
        <v>1080</v>
      </c>
      <c r="C16" s="2">
        <v>0</v>
      </c>
      <c r="D16" s="2"/>
      <c r="E16" s="2"/>
      <c r="F16" s="2"/>
      <c r="G16" s="2"/>
      <c r="H16" s="2">
        <v>3</v>
      </c>
      <c r="I16" s="2">
        <v>6</v>
      </c>
      <c r="J16" s="2">
        <v>2</v>
      </c>
      <c r="K16" s="2" t="s">
        <v>1781</v>
      </c>
      <c r="L16" s="2" t="s">
        <v>1783</v>
      </c>
      <c r="M16" s="2" t="s">
        <v>1776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2" ht="42">
      <c r="A1" s="13" t="s">
        <v>1009</v>
      </c>
      <c r="B1" s="13" t="s">
        <v>1010</v>
      </c>
      <c r="C1" s="13" t="s">
        <v>715</v>
      </c>
      <c r="D1" s="13" t="s">
        <v>1740</v>
      </c>
      <c r="E1" s="13" t="s">
        <v>1741</v>
      </c>
      <c r="F1" s="13" t="s">
        <v>1789</v>
      </c>
      <c r="G1" s="13" t="s">
        <v>1790</v>
      </c>
      <c r="H1" s="13" t="s">
        <v>1791</v>
      </c>
      <c r="I1" s="13" t="s">
        <v>1771</v>
      </c>
      <c r="J1" s="13" t="s">
        <v>1792</v>
      </c>
      <c r="K1" s="13" t="s">
        <v>1793</v>
      </c>
      <c r="L1" s="13" t="s">
        <v>1794</v>
      </c>
    </row>
    <row r="2" spans="1:12" ht="112">
      <c r="A2" s="2" t="s">
        <v>221</v>
      </c>
      <c r="B2" s="2" t="s">
        <v>1019</v>
      </c>
      <c r="C2" s="2">
        <v>3</v>
      </c>
      <c r="D2" s="2">
        <v>3</v>
      </c>
      <c r="E2" s="2">
        <v>2</v>
      </c>
      <c r="F2" s="2" t="s">
        <v>1795</v>
      </c>
      <c r="G2" s="2">
        <v>3</v>
      </c>
      <c r="H2" s="2">
        <v>10</v>
      </c>
      <c r="I2" s="2" t="s">
        <v>1774</v>
      </c>
      <c r="J2" s="2" t="s">
        <v>451</v>
      </c>
      <c r="K2" s="2" t="s">
        <v>1796</v>
      </c>
      <c r="L2" s="2" t="s">
        <v>1797</v>
      </c>
    </row>
    <row r="3" spans="1:12" ht="154">
      <c r="A3" s="2" t="s">
        <v>221</v>
      </c>
      <c r="B3" s="2" t="s">
        <v>1026</v>
      </c>
      <c r="C3" s="2">
        <v>3</v>
      </c>
      <c r="D3" s="2">
        <v>3</v>
      </c>
      <c r="E3" s="2">
        <v>3</v>
      </c>
      <c r="F3" s="2" t="s">
        <v>1798</v>
      </c>
      <c r="G3" s="2">
        <v>3</v>
      </c>
      <c r="H3" s="2">
        <v>10</v>
      </c>
      <c r="I3" s="2" t="s">
        <v>1774</v>
      </c>
      <c r="J3" s="2" t="s">
        <v>451</v>
      </c>
      <c r="K3" s="2" t="s">
        <v>1796</v>
      </c>
      <c r="L3" s="2" t="s">
        <v>1797</v>
      </c>
    </row>
    <row r="4" spans="1:12" ht="168">
      <c r="A4" s="2" t="s">
        <v>221</v>
      </c>
      <c r="B4" s="2" t="s">
        <v>1031</v>
      </c>
      <c r="C4" s="2">
        <v>2</v>
      </c>
      <c r="D4" s="2">
        <v>2</v>
      </c>
      <c r="E4" s="2">
        <v>3</v>
      </c>
      <c r="F4" s="2" t="s">
        <v>1799</v>
      </c>
      <c r="G4" s="2">
        <v>3</v>
      </c>
      <c r="H4" s="2">
        <v>15</v>
      </c>
      <c r="I4" s="2" t="s">
        <v>1774</v>
      </c>
      <c r="J4" s="2" t="s">
        <v>451</v>
      </c>
      <c r="K4" s="2" t="s">
        <v>1796</v>
      </c>
      <c r="L4" s="2" t="s">
        <v>1797</v>
      </c>
    </row>
    <row r="5" spans="1:12" ht="210">
      <c r="A5" s="2" t="s">
        <v>221</v>
      </c>
      <c r="B5" s="2" t="s">
        <v>1036</v>
      </c>
      <c r="C5" s="2">
        <v>2</v>
      </c>
      <c r="D5" s="2">
        <v>2</v>
      </c>
      <c r="E5" s="2">
        <v>4</v>
      </c>
      <c r="F5" s="2" t="s">
        <v>1800</v>
      </c>
      <c r="G5" s="2">
        <v>1</v>
      </c>
      <c r="H5" s="2">
        <v>9</v>
      </c>
      <c r="I5" s="2" t="s">
        <v>1781</v>
      </c>
      <c r="J5" s="2" t="s">
        <v>453</v>
      </c>
      <c r="K5" s="2" t="s">
        <v>1801</v>
      </c>
      <c r="L5" s="2" t="s">
        <v>1797</v>
      </c>
    </row>
    <row r="6" spans="1:12" ht="112">
      <c r="A6" s="2" t="s">
        <v>221</v>
      </c>
      <c r="B6" s="2" t="s">
        <v>1040</v>
      </c>
      <c r="C6" s="2">
        <v>2</v>
      </c>
      <c r="D6" s="2">
        <v>2</v>
      </c>
      <c r="E6" s="2">
        <v>3</v>
      </c>
      <c r="F6" s="2" t="s">
        <v>1756</v>
      </c>
      <c r="G6" s="2">
        <v>3</v>
      </c>
      <c r="H6" s="2">
        <v>13</v>
      </c>
      <c r="I6" s="2" t="s">
        <v>1774</v>
      </c>
      <c r="J6" s="2" t="s">
        <v>451</v>
      </c>
      <c r="K6" s="2" t="s">
        <v>1796</v>
      </c>
      <c r="L6" s="2" t="s">
        <v>1797</v>
      </c>
    </row>
    <row r="7" spans="1:12" ht="182">
      <c r="A7" s="2" t="s">
        <v>26</v>
      </c>
      <c r="B7" s="2" t="s">
        <v>1044</v>
      </c>
      <c r="C7" s="2">
        <v>3</v>
      </c>
      <c r="D7" s="2">
        <v>3</v>
      </c>
      <c r="E7" s="2">
        <v>4</v>
      </c>
      <c r="F7" s="2" t="s">
        <v>1802</v>
      </c>
      <c r="G7" s="2">
        <v>0</v>
      </c>
      <c r="H7" s="2"/>
      <c r="I7" s="2" t="s">
        <v>1781</v>
      </c>
      <c r="J7" s="2" t="s">
        <v>453</v>
      </c>
      <c r="K7" s="2" t="s">
        <v>1801</v>
      </c>
      <c r="L7" s="2" t="s">
        <v>1797</v>
      </c>
    </row>
    <row r="8" spans="1:12" ht="112">
      <c r="A8" s="2" t="s">
        <v>26</v>
      </c>
      <c r="B8" s="2" t="s">
        <v>1048</v>
      </c>
      <c r="C8" s="2">
        <v>3</v>
      </c>
      <c r="D8" s="2">
        <v>3</v>
      </c>
      <c r="E8" s="2">
        <v>2</v>
      </c>
      <c r="F8" s="2" t="s">
        <v>1803</v>
      </c>
      <c r="G8" s="2">
        <v>0</v>
      </c>
      <c r="H8" s="2"/>
      <c r="I8" s="2" t="s">
        <v>1781</v>
      </c>
      <c r="J8" s="2" t="s">
        <v>453</v>
      </c>
      <c r="K8" s="2" t="s">
        <v>1801</v>
      </c>
      <c r="L8" s="2" t="s">
        <v>1797</v>
      </c>
    </row>
    <row r="9" spans="1:12" ht="154">
      <c r="A9" s="2" t="s">
        <v>26</v>
      </c>
      <c r="B9" s="2" t="s">
        <v>1052</v>
      </c>
      <c r="C9" s="2">
        <v>2</v>
      </c>
      <c r="D9" s="2">
        <v>2</v>
      </c>
      <c r="E9" s="2">
        <v>5</v>
      </c>
      <c r="F9" s="2" t="s">
        <v>1804</v>
      </c>
      <c r="G9" s="2">
        <v>3</v>
      </c>
      <c r="H9" s="2">
        <v>10</v>
      </c>
      <c r="I9" s="2" t="s">
        <v>1774</v>
      </c>
      <c r="J9" s="2" t="s">
        <v>451</v>
      </c>
      <c r="K9" s="2" t="s">
        <v>1796</v>
      </c>
      <c r="L9" s="2" t="s">
        <v>1797</v>
      </c>
    </row>
    <row r="10" spans="1:12" ht="112">
      <c r="A10" s="2" t="s">
        <v>26</v>
      </c>
      <c r="B10" s="2" t="s">
        <v>1056</v>
      </c>
      <c r="C10" s="2">
        <v>2</v>
      </c>
      <c r="D10" s="2">
        <v>2</v>
      </c>
      <c r="E10" s="2">
        <v>2</v>
      </c>
      <c r="F10" s="2" t="s">
        <v>1805</v>
      </c>
      <c r="G10" s="2">
        <v>3</v>
      </c>
      <c r="H10" s="2">
        <v>8</v>
      </c>
      <c r="I10" s="2" t="s">
        <v>1774</v>
      </c>
      <c r="J10" s="2" t="s">
        <v>451</v>
      </c>
      <c r="K10" s="2" t="s">
        <v>1796</v>
      </c>
      <c r="L10" s="2" t="s">
        <v>1797</v>
      </c>
    </row>
    <row r="11" spans="1:12" ht="112">
      <c r="A11" s="2" t="s">
        <v>26</v>
      </c>
      <c r="B11" s="2" t="s">
        <v>510</v>
      </c>
      <c r="C11" s="2">
        <v>2</v>
      </c>
      <c r="D11" s="2">
        <v>2</v>
      </c>
      <c r="E11" s="2">
        <v>2</v>
      </c>
      <c r="F11" s="2" t="s">
        <v>1760</v>
      </c>
      <c r="G11" s="2">
        <v>0</v>
      </c>
      <c r="H11" s="2"/>
      <c r="I11" s="2" t="s">
        <v>1781</v>
      </c>
      <c r="J11" s="2" t="s">
        <v>453</v>
      </c>
      <c r="K11" s="2" t="s">
        <v>1801</v>
      </c>
      <c r="L11" s="2" t="s">
        <v>1797</v>
      </c>
    </row>
    <row r="12" spans="1:12" ht="112">
      <c r="A12" s="2" t="s">
        <v>262</v>
      </c>
      <c r="B12" s="2" t="s">
        <v>1063</v>
      </c>
      <c r="C12" s="2">
        <v>3</v>
      </c>
      <c r="D12" s="2">
        <v>3</v>
      </c>
      <c r="E12" s="2">
        <v>2</v>
      </c>
      <c r="F12" s="2" t="s">
        <v>1377</v>
      </c>
      <c r="G12" s="2">
        <v>0</v>
      </c>
      <c r="H12" s="2"/>
      <c r="I12" s="2" t="s">
        <v>1781</v>
      </c>
      <c r="J12" s="2" t="s">
        <v>453</v>
      </c>
      <c r="K12" s="2" t="s">
        <v>1801</v>
      </c>
      <c r="L12" s="2" t="s">
        <v>1797</v>
      </c>
    </row>
    <row r="13" spans="1:12" ht="126">
      <c r="A13" s="2" t="s">
        <v>262</v>
      </c>
      <c r="B13" s="2" t="s">
        <v>1067</v>
      </c>
      <c r="C13" s="2">
        <v>3</v>
      </c>
      <c r="D13" s="2">
        <v>3</v>
      </c>
      <c r="E13" s="2">
        <v>3</v>
      </c>
      <c r="F13" s="2" t="s">
        <v>1806</v>
      </c>
      <c r="G13" s="2">
        <v>1</v>
      </c>
      <c r="H13" s="2">
        <v>2</v>
      </c>
      <c r="I13" s="2" t="s">
        <v>1781</v>
      </c>
      <c r="J13" s="2" t="s">
        <v>453</v>
      </c>
      <c r="K13" s="2" t="s">
        <v>1801</v>
      </c>
      <c r="L13" s="2" t="s">
        <v>1797</v>
      </c>
    </row>
    <row r="14" spans="1:12" ht="182">
      <c r="A14" s="2" t="s">
        <v>262</v>
      </c>
      <c r="B14" s="2" t="s">
        <v>1072</v>
      </c>
      <c r="C14" s="2">
        <v>4</v>
      </c>
      <c r="D14" s="2">
        <v>4</v>
      </c>
      <c r="E14" s="2">
        <v>5</v>
      </c>
      <c r="F14" s="2" t="s">
        <v>1807</v>
      </c>
      <c r="G14" s="2">
        <v>2</v>
      </c>
      <c r="H14" s="2">
        <v>8.4</v>
      </c>
      <c r="I14" s="2" t="s">
        <v>1781</v>
      </c>
      <c r="J14" s="2" t="s">
        <v>453</v>
      </c>
      <c r="K14" s="2" t="s">
        <v>1801</v>
      </c>
      <c r="L14" s="2" t="s">
        <v>1797</v>
      </c>
    </row>
    <row r="15" spans="1:12" ht="252">
      <c r="A15" s="2" t="s">
        <v>262</v>
      </c>
      <c r="B15" s="2" t="s">
        <v>1076</v>
      </c>
      <c r="C15" s="2">
        <v>2</v>
      </c>
      <c r="D15" s="2">
        <v>2</v>
      </c>
      <c r="E15" s="2">
        <v>8</v>
      </c>
      <c r="F15" s="2" t="s">
        <v>1808</v>
      </c>
      <c r="G15" s="2">
        <v>2</v>
      </c>
      <c r="H15" s="2">
        <v>8.5</v>
      </c>
      <c r="I15" s="2" t="s">
        <v>1781</v>
      </c>
      <c r="J15" s="2" t="s">
        <v>453</v>
      </c>
      <c r="K15" s="2" t="s">
        <v>1801</v>
      </c>
      <c r="L15" s="2" t="s">
        <v>1797</v>
      </c>
    </row>
    <row r="16" spans="1:12" ht="112">
      <c r="A16" s="2" t="s">
        <v>262</v>
      </c>
      <c r="B16" s="2" t="s">
        <v>1080</v>
      </c>
      <c r="C16" s="2">
        <v>2</v>
      </c>
      <c r="D16" s="2">
        <v>2</v>
      </c>
      <c r="E16" s="2">
        <v>4</v>
      </c>
      <c r="F16" s="2" t="s">
        <v>1809</v>
      </c>
      <c r="G16" s="2">
        <v>0</v>
      </c>
      <c r="H16" s="2"/>
      <c r="I16" s="2" t="s">
        <v>1781</v>
      </c>
      <c r="J16" s="2" t="s">
        <v>453</v>
      </c>
      <c r="K16" s="2" t="s">
        <v>1801</v>
      </c>
      <c r="L16" s="2" t="s">
        <v>1797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16" customWidth="1"/>
    <col min="3" max="3" width="34" customWidth="1"/>
    <col min="4" max="4" width="22" customWidth="1"/>
    <col min="5" max="5" width="20" customWidth="1"/>
    <col min="6" max="6" width="18" customWidth="1"/>
    <col min="7" max="7" width="58" customWidth="1"/>
    <col min="8" max="8" width="32" customWidth="1"/>
    <col min="9" max="9" width="34" customWidth="1"/>
    <col min="10" max="10" width="28" customWidth="1"/>
    <col min="11" max="11" width="32" customWidth="1"/>
    <col min="12" max="13" width="58" customWidth="1"/>
  </cols>
  <sheetData>
    <row r="1" spans="1:13">
      <c r="A1" s="14" t="s">
        <v>187</v>
      </c>
      <c r="B1" s="14" t="s">
        <v>1810</v>
      </c>
      <c r="C1" s="14" t="s">
        <v>797</v>
      </c>
      <c r="D1" s="14" t="s">
        <v>1811</v>
      </c>
      <c r="E1" s="14" t="s">
        <v>1812</v>
      </c>
      <c r="F1" s="14" t="s">
        <v>1813</v>
      </c>
      <c r="G1" s="14" t="s">
        <v>191</v>
      </c>
      <c r="H1" s="14" t="s">
        <v>800</v>
      </c>
      <c r="I1" s="14" t="s">
        <v>1092</v>
      </c>
      <c r="J1" s="14" t="s">
        <v>1814</v>
      </c>
      <c r="K1" s="14" t="s">
        <v>1815</v>
      </c>
      <c r="L1" s="14" t="s">
        <v>1717</v>
      </c>
      <c r="M1" s="14" t="s">
        <v>802</v>
      </c>
    </row>
    <row r="2" spans="1:13" ht="28">
      <c r="A2" s="2" t="s">
        <v>1816</v>
      </c>
      <c r="B2" s="2" t="s">
        <v>1817</v>
      </c>
      <c r="C2" s="2" t="s">
        <v>1818</v>
      </c>
      <c r="D2" s="2"/>
      <c r="E2" s="2" t="s">
        <v>1819</v>
      </c>
      <c r="F2" s="2" t="s">
        <v>1820</v>
      </c>
      <c r="G2" s="2" t="s">
        <v>135</v>
      </c>
      <c r="H2" s="2" t="s">
        <v>1821</v>
      </c>
      <c r="I2" s="2" t="s">
        <v>1118</v>
      </c>
      <c r="J2" s="2" t="s">
        <v>1822</v>
      </c>
      <c r="K2" s="2" t="s">
        <v>1823</v>
      </c>
      <c r="L2" s="2" t="s">
        <v>1824</v>
      </c>
      <c r="M2" s="2" t="s">
        <v>1825</v>
      </c>
    </row>
    <row r="3" spans="1:13" ht="56">
      <c r="A3" s="2" t="s">
        <v>1826</v>
      </c>
      <c r="B3" s="2" t="s">
        <v>1817</v>
      </c>
      <c r="C3" s="2" t="s">
        <v>1827</v>
      </c>
      <c r="D3" s="2" t="s">
        <v>1828</v>
      </c>
      <c r="E3" s="2" t="s">
        <v>1829</v>
      </c>
      <c r="F3" s="2" t="s">
        <v>1830</v>
      </c>
      <c r="G3" s="2" t="s">
        <v>1831</v>
      </c>
      <c r="H3" s="2" t="s">
        <v>1832</v>
      </c>
      <c r="I3" s="2" t="s">
        <v>1833</v>
      </c>
      <c r="J3" s="2" t="s">
        <v>1834</v>
      </c>
      <c r="K3" s="2" t="s">
        <v>1835</v>
      </c>
      <c r="L3" s="2" t="s">
        <v>1836</v>
      </c>
      <c r="M3" s="2" t="s">
        <v>1837</v>
      </c>
    </row>
    <row r="4" spans="1:13" ht="42">
      <c r="A4" s="2" t="s">
        <v>272</v>
      </c>
      <c r="B4" s="2" t="s">
        <v>1817</v>
      </c>
      <c r="C4" s="2" t="s">
        <v>1838</v>
      </c>
      <c r="D4" s="2" t="s">
        <v>1839</v>
      </c>
      <c r="E4" s="2"/>
      <c r="F4" s="2" t="s">
        <v>1840</v>
      </c>
      <c r="G4" s="2" t="s">
        <v>1841</v>
      </c>
      <c r="H4" s="2" t="s">
        <v>1842</v>
      </c>
      <c r="I4" s="2" t="s">
        <v>1833</v>
      </c>
      <c r="J4" s="2" t="s">
        <v>1834</v>
      </c>
      <c r="K4" s="2" t="s">
        <v>1843</v>
      </c>
      <c r="L4" s="2" t="s">
        <v>1844</v>
      </c>
      <c r="M4" s="2" t="s">
        <v>1845</v>
      </c>
    </row>
    <row r="5" spans="1:13" ht="28">
      <c r="A5" s="2" t="s">
        <v>59</v>
      </c>
      <c r="B5" s="2" t="s">
        <v>1817</v>
      </c>
      <c r="C5" s="2" t="s">
        <v>787</v>
      </c>
      <c r="D5" s="2">
        <v>514843</v>
      </c>
      <c r="E5" s="2" t="s">
        <v>1846</v>
      </c>
      <c r="F5" s="2" t="s">
        <v>505</v>
      </c>
      <c r="G5" s="2" t="s">
        <v>1847</v>
      </c>
      <c r="H5" s="2" t="s">
        <v>1848</v>
      </c>
      <c r="I5" s="2" t="s">
        <v>1849</v>
      </c>
      <c r="J5" s="2" t="s">
        <v>1850</v>
      </c>
      <c r="K5" s="2" t="s">
        <v>1851</v>
      </c>
      <c r="L5" s="2" t="s">
        <v>1852</v>
      </c>
      <c r="M5" s="2" t="s">
        <v>1853</v>
      </c>
    </row>
    <row r="6" spans="1:13" ht="28">
      <c r="A6" s="2" t="s">
        <v>59</v>
      </c>
      <c r="B6" s="2" t="s">
        <v>1817</v>
      </c>
      <c r="C6" s="2" t="s">
        <v>1854</v>
      </c>
      <c r="D6" s="2">
        <v>8433</v>
      </c>
      <c r="E6" s="2" t="s">
        <v>1855</v>
      </c>
      <c r="F6" s="2" t="s">
        <v>505</v>
      </c>
      <c r="G6" s="2" t="s">
        <v>1847</v>
      </c>
      <c r="H6" s="2" t="s">
        <v>1848</v>
      </c>
      <c r="I6" s="2" t="s">
        <v>1849</v>
      </c>
      <c r="J6" s="2" t="s">
        <v>1850</v>
      </c>
      <c r="K6" s="2" t="s">
        <v>1851</v>
      </c>
      <c r="L6" s="2" t="s">
        <v>1856</v>
      </c>
      <c r="M6" s="2" t="s">
        <v>1857</v>
      </c>
    </row>
    <row r="7" spans="1:13" ht="28">
      <c r="A7" s="2" t="s">
        <v>59</v>
      </c>
      <c r="B7" s="2" t="s">
        <v>1817</v>
      </c>
      <c r="C7" s="2" t="s">
        <v>1858</v>
      </c>
      <c r="D7" s="2">
        <v>6841</v>
      </c>
      <c r="E7" s="2" t="s">
        <v>1819</v>
      </c>
      <c r="F7" s="2" t="s">
        <v>1820</v>
      </c>
      <c r="G7" s="2" t="s">
        <v>1859</v>
      </c>
      <c r="H7" s="2" t="s">
        <v>1860</v>
      </c>
      <c r="I7" s="2" t="s">
        <v>1861</v>
      </c>
      <c r="J7" s="2" t="s">
        <v>1850</v>
      </c>
      <c r="K7" s="2" t="s">
        <v>1862</v>
      </c>
      <c r="L7" s="2" t="s">
        <v>1863</v>
      </c>
      <c r="M7" s="2" t="s">
        <v>1864</v>
      </c>
    </row>
    <row r="8" spans="1:13" ht="28">
      <c r="A8" s="2" t="s">
        <v>59</v>
      </c>
      <c r="B8" s="2" t="s">
        <v>1817</v>
      </c>
      <c r="C8" s="2" t="s">
        <v>1865</v>
      </c>
      <c r="D8" s="2">
        <v>391437</v>
      </c>
      <c r="E8" s="2" t="s">
        <v>1866</v>
      </c>
      <c r="F8" s="2" t="s">
        <v>1820</v>
      </c>
      <c r="G8" s="2" t="s">
        <v>1859</v>
      </c>
      <c r="H8" s="2" t="s">
        <v>1860</v>
      </c>
      <c r="I8" s="2" t="s">
        <v>1861</v>
      </c>
      <c r="J8" s="2" t="s">
        <v>1850</v>
      </c>
      <c r="K8" s="2" t="s">
        <v>1867</v>
      </c>
      <c r="L8" s="2" t="s">
        <v>1868</v>
      </c>
      <c r="M8" s="2" t="s">
        <v>1869</v>
      </c>
    </row>
    <row r="9" spans="1:13" ht="28">
      <c r="A9" s="2" t="s">
        <v>59</v>
      </c>
      <c r="B9" s="2" t="s">
        <v>1817</v>
      </c>
      <c r="C9" s="2" t="s">
        <v>1870</v>
      </c>
      <c r="D9" s="2">
        <v>11.603</v>
      </c>
      <c r="E9" s="2" t="s">
        <v>1871</v>
      </c>
      <c r="F9" s="2" t="s">
        <v>1820</v>
      </c>
      <c r="G9" s="2" t="s">
        <v>1859</v>
      </c>
      <c r="H9" s="2" t="s">
        <v>1860</v>
      </c>
      <c r="I9" s="2" t="s">
        <v>1861</v>
      </c>
      <c r="J9" s="2" t="s">
        <v>1850</v>
      </c>
      <c r="K9" s="2" t="s">
        <v>1867</v>
      </c>
      <c r="L9" s="2" t="s">
        <v>1872</v>
      </c>
      <c r="M9" s="2" t="s">
        <v>1873</v>
      </c>
    </row>
    <row r="10" spans="1:13" ht="28">
      <c r="A10" s="2" t="s">
        <v>59</v>
      </c>
      <c r="B10" s="2" t="s">
        <v>1817</v>
      </c>
      <c r="C10" s="2" t="s">
        <v>1874</v>
      </c>
      <c r="D10" s="2">
        <v>62.05</v>
      </c>
      <c r="E10" s="2" t="s">
        <v>1875</v>
      </c>
      <c r="F10" s="2" t="s">
        <v>505</v>
      </c>
      <c r="G10" s="2" t="s">
        <v>1847</v>
      </c>
      <c r="H10" s="2" t="s">
        <v>1848</v>
      </c>
      <c r="I10" s="2" t="s">
        <v>1849</v>
      </c>
      <c r="J10" s="2" t="s">
        <v>1834</v>
      </c>
      <c r="K10" s="2" t="s">
        <v>1876</v>
      </c>
      <c r="L10" s="2" t="s">
        <v>1877</v>
      </c>
      <c r="M10" s="2" t="s">
        <v>1878</v>
      </c>
    </row>
    <row r="11" spans="1:13" ht="42">
      <c r="A11" s="2" t="s">
        <v>59</v>
      </c>
      <c r="B11" s="2" t="s">
        <v>1817</v>
      </c>
      <c r="C11" s="2" t="s">
        <v>1879</v>
      </c>
      <c r="D11" s="2" t="s">
        <v>1880</v>
      </c>
      <c r="E11" s="2" t="s">
        <v>1881</v>
      </c>
      <c r="F11" s="2" t="s">
        <v>1882</v>
      </c>
      <c r="G11" s="2" t="s">
        <v>1883</v>
      </c>
      <c r="H11" s="2" t="s">
        <v>1884</v>
      </c>
      <c r="I11" s="2" t="s">
        <v>1885</v>
      </c>
      <c r="J11" s="2" t="s">
        <v>1886</v>
      </c>
      <c r="K11" s="2" t="s">
        <v>1887</v>
      </c>
      <c r="L11" s="2" t="s">
        <v>1888</v>
      </c>
      <c r="M11" s="2" t="s">
        <v>1889</v>
      </c>
    </row>
    <row r="12" spans="1:13" ht="70">
      <c r="A12" s="2" t="s">
        <v>59</v>
      </c>
      <c r="B12" s="2" t="s">
        <v>1817</v>
      </c>
      <c r="C12" s="2" t="s">
        <v>1890</v>
      </c>
      <c r="D12" s="2" t="s">
        <v>1891</v>
      </c>
      <c r="E12" s="2" t="s">
        <v>1881</v>
      </c>
      <c r="F12" s="2" t="s">
        <v>1892</v>
      </c>
      <c r="G12" s="2" t="s">
        <v>845</v>
      </c>
      <c r="H12" s="2" t="s">
        <v>1893</v>
      </c>
      <c r="I12" s="2" t="s">
        <v>755</v>
      </c>
      <c r="J12" s="2" t="s">
        <v>1834</v>
      </c>
      <c r="K12" s="2" t="s">
        <v>1876</v>
      </c>
      <c r="L12" s="2" t="s">
        <v>1894</v>
      </c>
      <c r="M12" s="2" t="s">
        <v>1895</v>
      </c>
    </row>
    <row r="13" spans="1:13" ht="70">
      <c r="A13" s="2" t="s">
        <v>59</v>
      </c>
      <c r="B13" s="2" t="s">
        <v>1817</v>
      </c>
      <c r="C13" s="2" t="s">
        <v>1896</v>
      </c>
      <c r="D13" s="2" t="s">
        <v>1897</v>
      </c>
      <c r="E13" s="2" t="s">
        <v>1898</v>
      </c>
      <c r="F13" s="2" t="s">
        <v>1899</v>
      </c>
      <c r="G13" s="2" t="s">
        <v>1900</v>
      </c>
      <c r="H13" s="2" t="s">
        <v>1901</v>
      </c>
      <c r="I13" s="2" t="s">
        <v>755</v>
      </c>
      <c r="J13" s="2" t="s">
        <v>1834</v>
      </c>
      <c r="K13" s="2" t="s">
        <v>1876</v>
      </c>
      <c r="L13" s="2" t="s">
        <v>1902</v>
      </c>
      <c r="M13" s="2" t="s">
        <v>1903</v>
      </c>
    </row>
    <row r="14" spans="1:13" ht="28">
      <c r="A14" s="2" t="s">
        <v>100</v>
      </c>
      <c r="B14" s="2" t="s">
        <v>1817</v>
      </c>
      <c r="C14" s="2" t="s">
        <v>787</v>
      </c>
      <c r="D14" s="2">
        <v>357792</v>
      </c>
      <c r="E14" s="2" t="s">
        <v>1846</v>
      </c>
      <c r="F14" s="2" t="s">
        <v>505</v>
      </c>
      <c r="G14" s="2" t="s">
        <v>1847</v>
      </c>
      <c r="H14" s="2" t="s">
        <v>1848</v>
      </c>
      <c r="I14" s="2" t="s">
        <v>1849</v>
      </c>
      <c r="J14" s="2" t="s">
        <v>1850</v>
      </c>
      <c r="K14" s="2" t="s">
        <v>1851</v>
      </c>
      <c r="L14" s="2" t="s">
        <v>1904</v>
      </c>
      <c r="M14" s="2" t="s">
        <v>1905</v>
      </c>
    </row>
    <row r="15" spans="1:13" ht="28">
      <c r="A15" s="2" t="s">
        <v>100</v>
      </c>
      <c r="B15" s="2" t="s">
        <v>1817</v>
      </c>
      <c r="C15" s="2" t="s">
        <v>1854</v>
      </c>
      <c r="D15" s="2">
        <v>2855</v>
      </c>
      <c r="E15" s="2" t="s">
        <v>1855</v>
      </c>
      <c r="F15" s="2" t="s">
        <v>505</v>
      </c>
      <c r="G15" s="2" t="s">
        <v>1847</v>
      </c>
      <c r="H15" s="2" t="s">
        <v>1848</v>
      </c>
      <c r="I15" s="2" t="s">
        <v>1849</v>
      </c>
      <c r="J15" s="2" t="s">
        <v>1850</v>
      </c>
      <c r="K15" s="2" t="s">
        <v>1851</v>
      </c>
      <c r="L15" s="2" t="s">
        <v>1906</v>
      </c>
      <c r="M15" s="2" t="s">
        <v>1857</v>
      </c>
    </row>
    <row r="16" spans="1:13" ht="28">
      <c r="A16" s="2" t="s">
        <v>100</v>
      </c>
      <c r="B16" s="2" t="s">
        <v>1817</v>
      </c>
      <c r="C16" s="2" t="s">
        <v>1858</v>
      </c>
      <c r="D16" s="2">
        <v>8114</v>
      </c>
      <c r="E16" s="2" t="s">
        <v>1819</v>
      </c>
      <c r="F16" s="2" t="s">
        <v>1820</v>
      </c>
      <c r="G16" s="2" t="s">
        <v>1859</v>
      </c>
      <c r="H16" s="2" t="s">
        <v>1860</v>
      </c>
      <c r="I16" s="2" t="s">
        <v>1861</v>
      </c>
      <c r="J16" s="2" t="s">
        <v>1850</v>
      </c>
      <c r="K16" s="2" t="s">
        <v>1862</v>
      </c>
      <c r="L16" s="2" t="s">
        <v>1907</v>
      </c>
      <c r="M16" s="2" t="s">
        <v>1864</v>
      </c>
    </row>
    <row r="17" spans="1:13" ht="28">
      <c r="A17" s="2" t="s">
        <v>100</v>
      </c>
      <c r="B17" s="2" t="s">
        <v>1817</v>
      </c>
      <c r="C17" s="2" t="s">
        <v>1865</v>
      </c>
      <c r="D17" s="2">
        <v>340570</v>
      </c>
      <c r="E17" s="2" t="s">
        <v>1866</v>
      </c>
      <c r="F17" s="2" t="s">
        <v>1820</v>
      </c>
      <c r="G17" s="2" t="s">
        <v>1859</v>
      </c>
      <c r="H17" s="2" t="s">
        <v>1860</v>
      </c>
      <c r="I17" s="2" t="s">
        <v>1861</v>
      </c>
      <c r="J17" s="2" t="s">
        <v>1850</v>
      </c>
      <c r="K17" s="2" t="s">
        <v>1867</v>
      </c>
      <c r="L17" s="2" t="s">
        <v>1908</v>
      </c>
      <c r="M17" s="2" t="s">
        <v>1909</v>
      </c>
    </row>
    <row r="18" spans="1:13" ht="28">
      <c r="A18" s="2" t="s">
        <v>100</v>
      </c>
      <c r="B18" s="2" t="s">
        <v>1817</v>
      </c>
      <c r="C18" s="2" t="s">
        <v>1870</v>
      </c>
      <c r="D18" s="2">
        <v>12.525</v>
      </c>
      <c r="E18" s="2" t="s">
        <v>1871</v>
      </c>
      <c r="F18" s="2" t="s">
        <v>1820</v>
      </c>
      <c r="G18" s="2" t="s">
        <v>1859</v>
      </c>
      <c r="H18" s="2" t="s">
        <v>1860</v>
      </c>
      <c r="I18" s="2" t="s">
        <v>1861</v>
      </c>
      <c r="J18" s="2" t="s">
        <v>1850</v>
      </c>
      <c r="K18" s="2" t="s">
        <v>1867</v>
      </c>
      <c r="L18" s="2" t="s">
        <v>1910</v>
      </c>
      <c r="M18" s="2" t="s">
        <v>1911</v>
      </c>
    </row>
    <row r="19" spans="1:13" ht="28">
      <c r="A19" s="2" t="s">
        <v>100</v>
      </c>
      <c r="B19" s="2" t="s">
        <v>1817</v>
      </c>
      <c r="C19" s="2" t="s">
        <v>1912</v>
      </c>
      <c r="D19" s="2">
        <v>31850</v>
      </c>
      <c r="E19" s="2" t="s">
        <v>1866</v>
      </c>
      <c r="F19" s="2" t="s">
        <v>105</v>
      </c>
      <c r="G19" s="2" t="s">
        <v>1913</v>
      </c>
      <c r="H19" s="2" t="s">
        <v>1914</v>
      </c>
      <c r="I19" s="2" t="s">
        <v>755</v>
      </c>
      <c r="J19" s="2" t="s">
        <v>1834</v>
      </c>
      <c r="K19" s="2" t="s">
        <v>1915</v>
      </c>
      <c r="L19" s="2" t="s">
        <v>1916</v>
      </c>
      <c r="M19" s="2" t="s">
        <v>1917</v>
      </c>
    </row>
    <row r="20" spans="1:13">
      <c r="A20" s="2" t="s">
        <v>100</v>
      </c>
      <c r="B20" s="2" t="s">
        <v>1817</v>
      </c>
      <c r="C20" s="2" t="s">
        <v>1918</v>
      </c>
      <c r="D20" s="2">
        <v>75746.47</v>
      </c>
      <c r="E20" s="2" t="s">
        <v>1866</v>
      </c>
      <c r="F20" s="2" t="s">
        <v>105</v>
      </c>
      <c r="G20" s="2" t="s">
        <v>1913</v>
      </c>
      <c r="H20" s="2" t="s">
        <v>1914</v>
      </c>
      <c r="I20" s="2" t="s">
        <v>755</v>
      </c>
      <c r="J20" s="2" t="s">
        <v>1834</v>
      </c>
      <c r="K20" s="2" t="s">
        <v>1876</v>
      </c>
      <c r="L20" s="2" t="s">
        <v>1919</v>
      </c>
      <c r="M20" s="2" t="s">
        <v>1920</v>
      </c>
    </row>
    <row r="21" spans="1:13" ht="42">
      <c r="A21" s="2" t="s">
        <v>100</v>
      </c>
      <c r="B21" s="2" t="s">
        <v>1817</v>
      </c>
      <c r="C21" s="2" t="s">
        <v>1879</v>
      </c>
      <c r="D21" s="2" t="s">
        <v>1921</v>
      </c>
      <c r="E21" s="2" t="s">
        <v>1881</v>
      </c>
      <c r="F21" s="2" t="s">
        <v>1882</v>
      </c>
      <c r="G21" s="2" t="s">
        <v>1883</v>
      </c>
      <c r="H21" s="2" t="s">
        <v>1884</v>
      </c>
      <c r="I21" s="2" t="s">
        <v>1885</v>
      </c>
      <c r="J21" s="2" t="s">
        <v>1886</v>
      </c>
      <c r="K21" s="2" t="s">
        <v>1887</v>
      </c>
      <c r="L21" s="2" t="s">
        <v>1922</v>
      </c>
      <c r="M21" s="2" t="s">
        <v>645</v>
      </c>
    </row>
    <row r="22" spans="1:13" ht="126">
      <c r="A22" s="2" t="s">
        <v>96</v>
      </c>
      <c r="B22" s="2" t="s">
        <v>1817</v>
      </c>
      <c r="C22" s="2" t="s">
        <v>787</v>
      </c>
      <c r="D22" s="2">
        <v>365500</v>
      </c>
      <c r="E22" s="2" t="s">
        <v>1846</v>
      </c>
      <c r="F22" s="2" t="s">
        <v>105</v>
      </c>
      <c r="G22" s="2" t="s">
        <v>1923</v>
      </c>
      <c r="H22" s="2" t="s">
        <v>1924</v>
      </c>
      <c r="I22" s="2" t="s">
        <v>755</v>
      </c>
      <c r="J22" s="2" t="s">
        <v>1925</v>
      </c>
      <c r="K22" s="2" t="s">
        <v>1926</v>
      </c>
      <c r="L22" s="2" t="s">
        <v>1927</v>
      </c>
      <c r="M22" s="2" t="s">
        <v>1928</v>
      </c>
    </row>
    <row r="23" spans="1:13" ht="126">
      <c r="A23" s="2" t="s">
        <v>96</v>
      </c>
      <c r="B23" s="2" t="s">
        <v>1817</v>
      </c>
      <c r="C23" s="2" t="s">
        <v>1929</v>
      </c>
      <c r="D23" s="2">
        <v>47029</v>
      </c>
      <c r="E23" s="2" t="s">
        <v>1930</v>
      </c>
      <c r="F23" s="2" t="s">
        <v>672</v>
      </c>
      <c r="G23" s="2" t="s">
        <v>674</v>
      </c>
      <c r="H23" s="2" t="s">
        <v>1924</v>
      </c>
      <c r="I23" s="2" t="s">
        <v>755</v>
      </c>
      <c r="J23" s="2" t="s">
        <v>1834</v>
      </c>
      <c r="K23" s="2" t="s">
        <v>1876</v>
      </c>
      <c r="L23" s="2" t="s">
        <v>1931</v>
      </c>
      <c r="M23" s="2" t="s">
        <v>1932</v>
      </c>
    </row>
    <row r="24" spans="1:13" ht="126">
      <c r="A24" s="2" t="s">
        <v>96</v>
      </c>
      <c r="B24" s="2" t="s">
        <v>1817</v>
      </c>
      <c r="C24" s="2" t="s">
        <v>1933</v>
      </c>
      <c r="D24" s="2">
        <v>223969</v>
      </c>
      <c r="E24" s="2" t="s">
        <v>1930</v>
      </c>
      <c r="F24" s="2" t="s">
        <v>672</v>
      </c>
      <c r="G24" s="2" t="s">
        <v>674</v>
      </c>
      <c r="H24" s="2" t="s">
        <v>1924</v>
      </c>
      <c r="I24" s="2" t="s">
        <v>755</v>
      </c>
      <c r="J24" s="2" t="s">
        <v>1834</v>
      </c>
      <c r="K24" s="2" t="s">
        <v>1876</v>
      </c>
      <c r="L24" s="2" t="s">
        <v>1934</v>
      </c>
      <c r="M24" s="2" t="s">
        <v>1935</v>
      </c>
    </row>
    <row r="25" spans="1:13" ht="126">
      <c r="A25" s="2" t="s">
        <v>96</v>
      </c>
      <c r="B25" s="2" t="s">
        <v>1817</v>
      </c>
      <c r="C25" s="2" t="s">
        <v>1936</v>
      </c>
      <c r="D25" s="2" t="s">
        <v>1937</v>
      </c>
      <c r="E25" s="2" t="s">
        <v>1938</v>
      </c>
      <c r="F25" s="2" t="s">
        <v>105</v>
      </c>
      <c r="G25" s="2" t="s">
        <v>674</v>
      </c>
      <c r="H25" s="2" t="s">
        <v>1924</v>
      </c>
      <c r="I25" s="2" t="s">
        <v>755</v>
      </c>
      <c r="J25" s="2" t="s">
        <v>1834</v>
      </c>
      <c r="K25" s="2" t="s">
        <v>1876</v>
      </c>
      <c r="L25" s="2" t="s">
        <v>1939</v>
      </c>
      <c r="M25" s="2" t="s">
        <v>1940</v>
      </c>
    </row>
    <row r="26" spans="1:13" ht="126">
      <c r="A26" s="2" t="s">
        <v>96</v>
      </c>
      <c r="B26" s="2" t="s">
        <v>1817</v>
      </c>
      <c r="C26" s="2" t="s">
        <v>1941</v>
      </c>
      <c r="D26" s="2" t="s">
        <v>1942</v>
      </c>
      <c r="E26" s="2" t="s">
        <v>1943</v>
      </c>
      <c r="F26" s="2" t="s">
        <v>1944</v>
      </c>
      <c r="G26" s="2" t="s">
        <v>674</v>
      </c>
      <c r="H26" s="2" t="s">
        <v>1924</v>
      </c>
      <c r="I26" s="2" t="s">
        <v>755</v>
      </c>
      <c r="J26" s="2" t="s">
        <v>1834</v>
      </c>
      <c r="K26" s="2" t="s">
        <v>1945</v>
      </c>
      <c r="L26" s="2" t="s">
        <v>1946</v>
      </c>
      <c r="M26" s="2" t="s">
        <v>1947</v>
      </c>
    </row>
    <row r="27" spans="1:13" ht="112">
      <c r="A27" s="2" t="s">
        <v>96</v>
      </c>
      <c r="B27" s="2" t="s">
        <v>1817</v>
      </c>
      <c r="C27" s="2" t="s">
        <v>1912</v>
      </c>
      <c r="D27" s="2">
        <v>12448</v>
      </c>
      <c r="E27" s="2" t="s">
        <v>1866</v>
      </c>
      <c r="F27" s="2" t="s">
        <v>1948</v>
      </c>
      <c r="G27" s="2" t="s">
        <v>1949</v>
      </c>
      <c r="H27" s="2" t="s">
        <v>1924</v>
      </c>
      <c r="I27" s="2" t="s">
        <v>755</v>
      </c>
      <c r="J27" s="2" t="s">
        <v>1834</v>
      </c>
      <c r="K27" s="2" t="s">
        <v>1950</v>
      </c>
      <c r="L27" s="2" t="s">
        <v>1951</v>
      </c>
      <c r="M27" s="2" t="s">
        <v>1952</v>
      </c>
    </row>
    <row r="28" spans="1:13" ht="112">
      <c r="A28" s="2" t="s">
        <v>96</v>
      </c>
      <c r="B28" s="2" t="s">
        <v>1817</v>
      </c>
      <c r="C28" s="2" t="s">
        <v>1953</v>
      </c>
      <c r="D28" s="2">
        <v>3093</v>
      </c>
      <c r="E28" s="2" t="s">
        <v>1866</v>
      </c>
      <c r="F28" s="2" t="s">
        <v>1948</v>
      </c>
      <c r="G28" s="2" t="s">
        <v>1949</v>
      </c>
      <c r="H28" s="2" t="s">
        <v>1924</v>
      </c>
      <c r="I28" s="2" t="s">
        <v>755</v>
      </c>
      <c r="J28" s="2" t="s">
        <v>1834</v>
      </c>
      <c r="K28" s="2" t="s">
        <v>1954</v>
      </c>
      <c r="L28" s="2" t="s">
        <v>1955</v>
      </c>
      <c r="M28" s="2" t="s">
        <v>1956</v>
      </c>
    </row>
    <row r="29" spans="1:13" ht="112">
      <c r="A29" s="2" t="s">
        <v>96</v>
      </c>
      <c r="B29" s="2" t="s">
        <v>1817</v>
      </c>
      <c r="C29" s="2" t="s">
        <v>1918</v>
      </c>
      <c r="D29" s="2">
        <v>11663</v>
      </c>
      <c r="E29" s="2" t="s">
        <v>1866</v>
      </c>
      <c r="F29" s="2" t="s">
        <v>1948</v>
      </c>
      <c r="G29" s="2" t="s">
        <v>1949</v>
      </c>
      <c r="H29" s="2" t="s">
        <v>1924</v>
      </c>
      <c r="I29" s="2" t="s">
        <v>755</v>
      </c>
      <c r="J29" s="2" t="s">
        <v>1834</v>
      </c>
      <c r="K29" s="2" t="s">
        <v>1950</v>
      </c>
      <c r="L29" s="2" t="s">
        <v>1957</v>
      </c>
      <c r="M29" s="2" t="s">
        <v>1958</v>
      </c>
    </row>
    <row r="30" spans="1:13" ht="42">
      <c r="A30" s="2" t="s">
        <v>86</v>
      </c>
      <c r="B30" s="2" t="s">
        <v>1817</v>
      </c>
      <c r="C30" s="2" t="s">
        <v>1959</v>
      </c>
      <c r="D30" s="2" t="s">
        <v>1960</v>
      </c>
      <c r="E30" s="2" t="s">
        <v>1961</v>
      </c>
      <c r="F30" s="2" t="s">
        <v>1962</v>
      </c>
      <c r="G30" s="2" t="s">
        <v>1963</v>
      </c>
      <c r="H30" s="2" t="s">
        <v>1964</v>
      </c>
      <c r="I30" s="2" t="s">
        <v>1885</v>
      </c>
      <c r="J30" s="2" t="s">
        <v>1886</v>
      </c>
      <c r="K30" s="2" t="s">
        <v>1887</v>
      </c>
      <c r="L30" s="2" t="s">
        <v>1965</v>
      </c>
      <c r="M30" s="2" t="s">
        <v>1966</v>
      </c>
    </row>
    <row r="31" spans="1:13" ht="84">
      <c r="A31" s="2" t="s">
        <v>86</v>
      </c>
      <c r="B31" s="2" t="s">
        <v>1817</v>
      </c>
      <c r="C31" s="2" t="s">
        <v>1967</v>
      </c>
      <c r="D31" s="2" t="s">
        <v>1968</v>
      </c>
      <c r="E31" s="2" t="s">
        <v>1969</v>
      </c>
      <c r="F31" s="2" t="s">
        <v>1970</v>
      </c>
      <c r="G31" s="2" t="s">
        <v>1971</v>
      </c>
      <c r="H31" s="2" t="s">
        <v>1972</v>
      </c>
      <c r="I31" s="2" t="s">
        <v>1973</v>
      </c>
      <c r="J31" s="2" t="s">
        <v>1834</v>
      </c>
      <c r="K31" s="2" t="s">
        <v>1974</v>
      </c>
      <c r="L31" s="2" t="s">
        <v>1975</v>
      </c>
      <c r="M31" s="2" t="s">
        <v>1976</v>
      </c>
    </row>
    <row r="32" spans="1:13" ht="70">
      <c r="A32" s="2" t="s">
        <v>86</v>
      </c>
      <c r="B32" s="2" t="s">
        <v>1817</v>
      </c>
      <c r="C32" s="2" t="s">
        <v>1977</v>
      </c>
      <c r="D32" s="2" t="s">
        <v>1978</v>
      </c>
      <c r="E32" s="2"/>
      <c r="F32" s="2" t="s">
        <v>1979</v>
      </c>
      <c r="G32" s="2"/>
      <c r="H32" s="2" t="s">
        <v>1980</v>
      </c>
      <c r="I32" s="2" t="s">
        <v>1981</v>
      </c>
      <c r="J32" s="2" t="s">
        <v>213</v>
      </c>
      <c r="K32" s="2" t="s">
        <v>1982</v>
      </c>
      <c r="L32" s="2" t="s">
        <v>1983</v>
      </c>
      <c r="M32" s="2" t="s">
        <v>1984</v>
      </c>
    </row>
    <row r="33" spans="1:13" ht="70">
      <c r="A33" s="2" t="s">
        <v>86</v>
      </c>
      <c r="B33" s="2" t="s">
        <v>1817</v>
      </c>
      <c r="C33" s="2" t="s">
        <v>1985</v>
      </c>
      <c r="D33" s="2" t="s">
        <v>1986</v>
      </c>
      <c r="E33" s="2"/>
      <c r="F33" s="2" t="s">
        <v>1979</v>
      </c>
      <c r="G33" s="2"/>
      <c r="H33" s="2" t="s">
        <v>1980</v>
      </c>
      <c r="I33" s="2" t="s">
        <v>1981</v>
      </c>
      <c r="J33" s="2" t="s">
        <v>213</v>
      </c>
      <c r="K33" s="2" t="s">
        <v>1982</v>
      </c>
      <c r="L33" s="2" t="s">
        <v>1987</v>
      </c>
      <c r="M33" s="2" t="s">
        <v>1988</v>
      </c>
    </row>
    <row r="34" spans="1:13" ht="42">
      <c r="A34" s="2" t="s">
        <v>86</v>
      </c>
      <c r="B34" s="2" t="s">
        <v>1817</v>
      </c>
      <c r="C34" s="2" t="s">
        <v>1989</v>
      </c>
      <c r="D34" s="2" t="s">
        <v>1990</v>
      </c>
      <c r="E34" s="2"/>
      <c r="F34" s="2" t="s">
        <v>1979</v>
      </c>
      <c r="G34" s="2"/>
      <c r="H34" s="2" t="s">
        <v>1980</v>
      </c>
      <c r="I34" s="2" t="s">
        <v>1981</v>
      </c>
      <c r="J34" s="2" t="s">
        <v>213</v>
      </c>
      <c r="K34" s="2" t="s">
        <v>1982</v>
      </c>
      <c r="L34" s="2" t="s">
        <v>1991</v>
      </c>
      <c r="M34" s="2" t="s">
        <v>1992</v>
      </c>
    </row>
    <row r="35" spans="1:13" ht="70">
      <c r="A35" s="2" t="s">
        <v>1993</v>
      </c>
      <c r="B35" s="2" t="s">
        <v>1994</v>
      </c>
      <c r="C35" s="2" t="s">
        <v>1995</v>
      </c>
      <c r="D35" s="2" t="s">
        <v>1996</v>
      </c>
      <c r="E35" s="2"/>
      <c r="F35" s="2" t="s">
        <v>1997</v>
      </c>
      <c r="G35" s="2"/>
      <c r="H35" s="2" t="s">
        <v>1994</v>
      </c>
      <c r="I35" s="2" t="s">
        <v>1998</v>
      </c>
      <c r="J35" s="2" t="s">
        <v>1999</v>
      </c>
      <c r="K35" s="2" t="s">
        <v>2000</v>
      </c>
      <c r="L35" s="2" t="s">
        <v>2001</v>
      </c>
      <c r="M35" s="2" t="s">
        <v>2002</v>
      </c>
    </row>
    <row r="36" spans="1:13" ht="56">
      <c r="A36" s="2" t="s">
        <v>1993</v>
      </c>
      <c r="B36" s="2" t="s">
        <v>1994</v>
      </c>
      <c r="C36" s="2" t="s">
        <v>2003</v>
      </c>
      <c r="D36" s="2" t="s">
        <v>2004</v>
      </c>
      <c r="E36" s="2"/>
      <c r="F36" s="2" t="s">
        <v>1997</v>
      </c>
      <c r="G36" s="2"/>
      <c r="H36" s="2" t="s">
        <v>1994</v>
      </c>
      <c r="I36" s="2" t="s">
        <v>1998</v>
      </c>
      <c r="J36" s="2" t="s">
        <v>1999</v>
      </c>
      <c r="K36" s="2" t="s">
        <v>2000</v>
      </c>
      <c r="L36" s="2" t="s">
        <v>2005</v>
      </c>
      <c r="M36" s="2" t="s">
        <v>2006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20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20" customWidth="1"/>
    <col min="3" max="3" width="22" customWidth="1"/>
    <col min="4" max="5" width="18" customWidth="1"/>
    <col min="6" max="7" width="20" customWidth="1"/>
    <col min="8" max="8" width="22" customWidth="1"/>
    <col min="9" max="10" width="18" customWidth="1"/>
    <col min="11" max="12" width="20" customWidth="1"/>
    <col min="13" max="13" width="22" customWidth="1"/>
    <col min="14" max="14" width="42" customWidth="1"/>
    <col min="15" max="16" width="18" customWidth="1"/>
    <col min="17" max="17" width="20" customWidth="1"/>
    <col min="18" max="19" width="62" customWidth="1"/>
  </cols>
  <sheetData>
    <row r="1" spans="1:19" ht="28">
      <c r="A1" s="14" t="s">
        <v>187</v>
      </c>
      <c r="B1" s="14" t="s">
        <v>2007</v>
      </c>
      <c r="C1" s="14" t="s">
        <v>2008</v>
      </c>
      <c r="D1" s="14" t="s">
        <v>2009</v>
      </c>
      <c r="E1" s="14" t="s">
        <v>2010</v>
      </c>
      <c r="F1" s="14" t="s">
        <v>2011</v>
      </c>
      <c r="G1" s="14" t="s">
        <v>2012</v>
      </c>
      <c r="H1" s="14" t="s">
        <v>2013</v>
      </c>
      <c r="I1" s="14" t="s">
        <v>2014</v>
      </c>
      <c r="J1" s="14" t="s">
        <v>2015</v>
      </c>
      <c r="K1" s="14" t="s">
        <v>2016</v>
      </c>
      <c r="L1" s="14" t="s">
        <v>2017</v>
      </c>
      <c r="M1" s="14" t="s">
        <v>2018</v>
      </c>
      <c r="N1" s="14" t="s">
        <v>2019</v>
      </c>
      <c r="O1" s="14" t="s">
        <v>2020</v>
      </c>
      <c r="P1" s="14" t="s">
        <v>2021</v>
      </c>
      <c r="Q1" s="14" t="s">
        <v>2022</v>
      </c>
      <c r="R1" s="14" t="s">
        <v>2023</v>
      </c>
      <c r="S1" s="14" t="s">
        <v>2024</v>
      </c>
    </row>
    <row r="2" spans="1:19" ht="28">
      <c r="A2" s="2" t="s">
        <v>283</v>
      </c>
      <c r="B2" s="2" t="s">
        <v>205</v>
      </c>
      <c r="C2" s="2" t="s">
        <v>205</v>
      </c>
      <c r="D2" s="2" t="s">
        <v>205</v>
      </c>
      <c r="E2" s="2" t="s">
        <v>205</v>
      </c>
      <c r="F2" s="2" t="s">
        <v>205</v>
      </c>
      <c r="G2" s="2" t="s">
        <v>205</v>
      </c>
      <c r="H2" s="2" t="s">
        <v>205</v>
      </c>
      <c r="I2" s="2" t="s">
        <v>205</v>
      </c>
      <c r="J2" s="2" t="s">
        <v>2025</v>
      </c>
      <c r="K2" s="2" t="s">
        <v>2026</v>
      </c>
      <c r="L2" s="2" t="s">
        <v>2026</v>
      </c>
      <c r="M2" s="2" t="s">
        <v>2026</v>
      </c>
      <c r="N2" s="2" t="s">
        <v>2027</v>
      </c>
      <c r="O2" s="2">
        <f t="shared" ref="O2:O20" si="0">IF(LEFT(B2,3)="YES",1,0)+IF(LEFT(C2,3)="YES",1,0)+IF(LEFT(D2,3)="YES",1,0)+IF(LEFT(E2,3)="YES",1,0)+IF(LEFT(F2,3)="YES",1,0)+IF(LEFT(G2,3)="YES",1,0)+IF(LEFT(H2,3)="YES",1,0)+IF(LEFT(I2,3)="YES",1,0)</f>
        <v>8</v>
      </c>
      <c r="P2" s="2">
        <v>8</v>
      </c>
      <c r="Q2" s="15">
        <f t="shared" ref="Q2:Q20" si="1">O2/P2</f>
        <v>1</v>
      </c>
      <c r="R2" s="2" t="s">
        <v>2028</v>
      </c>
      <c r="S2" s="2" t="s">
        <v>2029</v>
      </c>
    </row>
    <row r="3" spans="1:19" ht="28">
      <c r="A3" s="2" t="s">
        <v>248</v>
      </c>
      <c r="B3" s="2" t="s">
        <v>205</v>
      </c>
      <c r="C3" s="2" t="s">
        <v>205</v>
      </c>
      <c r="D3" s="2" t="s">
        <v>205</v>
      </c>
      <c r="E3" s="2" t="s">
        <v>205</v>
      </c>
      <c r="F3" s="2" t="s">
        <v>205</v>
      </c>
      <c r="G3" s="2" t="s">
        <v>205</v>
      </c>
      <c r="H3" s="2" t="s">
        <v>205</v>
      </c>
      <c r="I3" s="2" t="s">
        <v>205</v>
      </c>
      <c r="J3" s="2" t="s">
        <v>2025</v>
      </c>
      <c r="K3" s="2" t="s">
        <v>2026</v>
      </c>
      <c r="L3" s="2" t="s">
        <v>2026</v>
      </c>
      <c r="M3" s="2" t="s">
        <v>2026</v>
      </c>
      <c r="N3" s="2" t="s">
        <v>2027</v>
      </c>
      <c r="O3" s="2">
        <f t="shared" si="0"/>
        <v>8</v>
      </c>
      <c r="P3" s="2">
        <v>8</v>
      </c>
      <c r="Q3" s="15">
        <f t="shared" si="1"/>
        <v>1</v>
      </c>
      <c r="R3" s="2" t="s">
        <v>2028</v>
      </c>
      <c r="S3" s="2" t="s">
        <v>2029</v>
      </c>
    </row>
    <row r="4" spans="1:19" ht="28">
      <c r="A4" s="2" t="s">
        <v>221</v>
      </c>
      <c r="B4" s="2" t="s">
        <v>205</v>
      </c>
      <c r="C4" s="2" t="s">
        <v>205</v>
      </c>
      <c r="D4" s="2" t="s">
        <v>205</v>
      </c>
      <c r="E4" s="2" t="s">
        <v>205</v>
      </c>
      <c r="F4" s="2" t="s">
        <v>205</v>
      </c>
      <c r="G4" s="2" t="s">
        <v>205</v>
      </c>
      <c r="H4" s="2" t="s">
        <v>205</v>
      </c>
      <c r="I4" s="2" t="s">
        <v>205</v>
      </c>
      <c r="J4" s="2" t="s">
        <v>2025</v>
      </c>
      <c r="K4" s="2" t="s">
        <v>2026</v>
      </c>
      <c r="L4" s="2" t="s">
        <v>2026</v>
      </c>
      <c r="M4" s="2" t="s">
        <v>2026</v>
      </c>
      <c r="N4" s="2" t="s">
        <v>2027</v>
      </c>
      <c r="O4" s="2">
        <f t="shared" si="0"/>
        <v>8</v>
      </c>
      <c r="P4" s="2">
        <v>8</v>
      </c>
      <c r="Q4" s="15">
        <f t="shared" si="1"/>
        <v>1</v>
      </c>
      <c r="R4" s="2" t="s">
        <v>2028</v>
      </c>
      <c r="S4" s="2" t="s">
        <v>2029</v>
      </c>
    </row>
    <row r="5" spans="1:19" ht="28">
      <c r="A5" s="2" t="s">
        <v>211</v>
      </c>
      <c r="B5" s="2" t="s">
        <v>205</v>
      </c>
      <c r="C5" s="2" t="s">
        <v>205</v>
      </c>
      <c r="D5" s="2" t="s">
        <v>205</v>
      </c>
      <c r="E5" s="2" t="s">
        <v>205</v>
      </c>
      <c r="F5" s="2" t="s">
        <v>205</v>
      </c>
      <c r="G5" s="2" t="s">
        <v>205</v>
      </c>
      <c r="H5" s="2" t="s">
        <v>205</v>
      </c>
      <c r="I5" s="2" t="s">
        <v>205</v>
      </c>
      <c r="J5" s="2" t="s">
        <v>2025</v>
      </c>
      <c r="K5" s="2" t="s">
        <v>2026</v>
      </c>
      <c r="L5" s="2" t="s">
        <v>2026</v>
      </c>
      <c r="M5" s="2" t="s">
        <v>2026</v>
      </c>
      <c r="N5" s="2" t="s">
        <v>2027</v>
      </c>
      <c r="O5" s="2">
        <f t="shared" si="0"/>
        <v>8</v>
      </c>
      <c r="P5" s="2">
        <v>8</v>
      </c>
      <c r="Q5" s="15">
        <f t="shared" si="1"/>
        <v>1</v>
      </c>
      <c r="R5" s="2" t="s">
        <v>2028</v>
      </c>
      <c r="S5" s="2" t="s">
        <v>2029</v>
      </c>
    </row>
    <row r="6" spans="1:19" ht="28">
      <c r="A6" s="2" t="s">
        <v>201</v>
      </c>
      <c r="B6" s="2" t="s">
        <v>205</v>
      </c>
      <c r="C6" s="2" t="s">
        <v>205</v>
      </c>
      <c r="D6" s="2" t="s">
        <v>205</v>
      </c>
      <c r="E6" s="2" t="s">
        <v>205</v>
      </c>
      <c r="F6" s="2" t="s">
        <v>205</v>
      </c>
      <c r="G6" s="2" t="s">
        <v>205</v>
      </c>
      <c r="H6" s="2" t="s">
        <v>205</v>
      </c>
      <c r="I6" s="2" t="s">
        <v>205</v>
      </c>
      <c r="J6" s="2" t="s">
        <v>2025</v>
      </c>
      <c r="K6" s="2" t="s">
        <v>2026</v>
      </c>
      <c r="L6" s="2" t="s">
        <v>2026</v>
      </c>
      <c r="M6" s="2" t="s">
        <v>2026</v>
      </c>
      <c r="N6" s="2" t="s">
        <v>2027</v>
      </c>
      <c r="O6" s="2">
        <f t="shared" si="0"/>
        <v>8</v>
      </c>
      <c r="P6" s="2">
        <v>8</v>
      </c>
      <c r="Q6" s="15">
        <f t="shared" si="1"/>
        <v>1</v>
      </c>
      <c r="R6" s="2" t="s">
        <v>2028</v>
      </c>
      <c r="S6" s="2" t="s">
        <v>2029</v>
      </c>
    </row>
    <row r="7" spans="1:19" ht="28">
      <c r="A7" s="2" t="s">
        <v>262</v>
      </c>
      <c r="B7" s="2" t="s">
        <v>205</v>
      </c>
      <c r="C7" s="2" t="s">
        <v>205</v>
      </c>
      <c r="D7" s="2" t="s">
        <v>205</v>
      </c>
      <c r="E7" s="2" t="s">
        <v>205</v>
      </c>
      <c r="F7" s="2" t="s">
        <v>205</v>
      </c>
      <c r="G7" s="2" t="s">
        <v>205</v>
      </c>
      <c r="H7" s="2" t="s">
        <v>205</v>
      </c>
      <c r="I7" s="2" t="s">
        <v>205</v>
      </c>
      <c r="J7" s="2" t="s">
        <v>2025</v>
      </c>
      <c r="K7" s="2" t="s">
        <v>2026</v>
      </c>
      <c r="L7" s="2" t="s">
        <v>2026</v>
      </c>
      <c r="M7" s="2" t="s">
        <v>2026</v>
      </c>
      <c r="N7" s="2" t="s">
        <v>2027</v>
      </c>
      <c r="O7" s="2">
        <f t="shared" si="0"/>
        <v>8</v>
      </c>
      <c r="P7" s="2">
        <v>8</v>
      </c>
      <c r="Q7" s="15">
        <f t="shared" si="1"/>
        <v>1</v>
      </c>
      <c r="R7" s="2" t="s">
        <v>2028</v>
      </c>
      <c r="S7" s="2" t="s">
        <v>2029</v>
      </c>
    </row>
    <row r="8" spans="1:19" ht="28">
      <c r="A8" s="2" t="s">
        <v>10</v>
      </c>
      <c r="B8" s="2" t="s">
        <v>205</v>
      </c>
      <c r="C8" s="2" t="s">
        <v>205</v>
      </c>
      <c r="D8" s="2" t="s">
        <v>205</v>
      </c>
      <c r="E8" s="2" t="s">
        <v>205</v>
      </c>
      <c r="F8" s="2" t="s">
        <v>205</v>
      </c>
      <c r="G8" s="2" t="s">
        <v>205</v>
      </c>
      <c r="H8" s="2" t="s">
        <v>205</v>
      </c>
      <c r="I8" s="2" t="s">
        <v>205</v>
      </c>
      <c r="J8" s="2" t="s">
        <v>2025</v>
      </c>
      <c r="K8" s="2" t="s">
        <v>2026</v>
      </c>
      <c r="L8" s="2" t="s">
        <v>2026</v>
      </c>
      <c r="M8" s="2" t="s">
        <v>2026</v>
      </c>
      <c r="N8" s="2" t="s">
        <v>2027</v>
      </c>
      <c r="O8" s="2">
        <f t="shared" si="0"/>
        <v>8</v>
      </c>
      <c r="P8" s="2">
        <v>8</v>
      </c>
      <c r="Q8" s="15">
        <f t="shared" si="1"/>
        <v>1</v>
      </c>
      <c r="R8" s="2" t="s">
        <v>2028</v>
      </c>
      <c r="S8" s="2" t="s">
        <v>2029</v>
      </c>
    </row>
    <row r="9" spans="1:19" ht="28">
      <c r="A9" s="2" t="s">
        <v>26</v>
      </c>
      <c r="B9" s="2" t="s">
        <v>205</v>
      </c>
      <c r="C9" s="2" t="s">
        <v>205</v>
      </c>
      <c r="D9" s="2" t="s">
        <v>205</v>
      </c>
      <c r="E9" s="2" t="s">
        <v>205</v>
      </c>
      <c r="F9" s="2" t="s">
        <v>205</v>
      </c>
      <c r="G9" s="2" t="s">
        <v>205</v>
      </c>
      <c r="H9" s="2" t="s">
        <v>205</v>
      </c>
      <c r="I9" s="2" t="s">
        <v>205</v>
      </c>
      <c r="J9" s="2" t="s">
        <v>2025</v>
      </c>
      <c r="K9" s="2" t="s">
        <v>2026</v>
      </c>
      <c r="L9" s="2" t="s">
        <v>2026</v>
      </c>
      <c r="M9" s="2" t="s">
        <v>2026</v>
      </c>
      <c r="N9" s="2" t="s">
        <v>2027</v>
      </c>
      <c r="O9" s="2">
        <f t="shared" si="0"/>
        <v>8</v>
      </c>
      <c r="P9" s="2">
        <v>8</v>
      </c>
      <c r="Q9" s="15">
        <f t="shared" si="1"/>
        <v>1</v>
      </c>
      <c r="R9" s="2" t="s">
        <v>2028</v>
      </c>
      <c r="S9" s="2" t="s">
        <v>2029</v>
      </c>
    </row>
    <row r="10" spans="1:19" ht="28">
      <c r="A10" s="2" t="s">
        <v>258</v>
      </c>
      <c r="B10" s="2" t="s">
        <v>205</v>
      </c>
      <c r="C10" s="2" t="s">
        <v>205</v>
      </c>
      <c r="D10" s="2" t="s">
        <v>205</v>
      </c>
      <c r="E10" s="2" t="s">
        <v>205</v>
      </c>
      <c r="F10" s="2" t="s">
        <v>205</v>
      </c>
      <c r="G10" s="2" t="s">
        <v>205</v>
      </c>
      <c r="H10" s="2" t="s">
        <v>205</v>
      </c>
      <c r="I10" s="2" t="s">
        <v>205</v>
      </c>
      <c r="J10" s="2" t="s">
        <v>2025</v>
      </c>
      <c r="K10" s="2" t="s">
        <v>2026</v>
      </c>
      <c r="L10" s="2" t="s">
        <v>2026</v>
      </c>
      <c r="M10" s="2" t="s">
        <v>2026</v>
      </c>
      <c r="N10" s="2" t="s">
        <v>2027</v>
      </c>
      <c r="O10" s="2">
        <f t="shared" si="0"/>
        <v>8</v>
      </c>
      <c r="P10" s="2">
        <v>8</v>
      </c>
      <c r="Q10" s="15">
        <f t="shared" si="1"/>
        <v>1</v>
      </c>
      <c r="R10" s="2" t="s">
        <v>2028</v>
      </c>
      <c r="S10" s="2" t="s">
        <v>2029</v>
      </c>
    </row>
    <row r="11" spans="1:19" ht="28">
      <c r="A11" s="2" t="s">
        <v>243</v>
      </c>
      <c r="B11" s="2" t="s">
        <v>205</v>
      </c>
      <c r="C11" s="2" t="s">
        <v>205</v>
      </c>
      <c r="D11" s="2" t="s">
        <v>205</v>
      </c>
      <c r="E11" s="2" t="s">
        <v>205</v>
      </c>
      <c r="F11" s="2" t="s">
        <v>205</v>
      </c>
      <c r="G11" s="2" t="s">
        <v>205</v>
      </c>
      <c r="H11" s="2" t="s">
        <v>205</v>
      </c>
      <c r="I11" s="2" t="s">
        <v>205</v>
      </c>
      <c r="J11" s="2" t="s">
        <v>2025</v>
      </c>
      <c r="K11" s="2" t="s">
        <v>2026</v>
      </c>
      <c r="L11" s="2" t="s">
        <v>2026</v>
      </c>
      <c r="M11" s="2" t="s">
        <v>2026</v>
      </c>
      <c r="N11" s="2" t="s">
        <v>2027</v>
      </c>
      <c r="O11" s="2">
        <f t="shared" si="0"/>
        <v>8</v>
      </c>
      <c r="P11" s="2">
        <v>8</v>
      </c>
      <c r="Q11" s="15">
        <f t="shared" si="1"/>
        <v>1</v>
      </c>
      <c r="R11" s="2" t="s">
        <v>2028</v>
      </c>
      <c r="S11" s="2" t="s">
        <v>2029</v>
      </c>
    </row>
    <row r="12" spans="1:19" ht="28">
      <c r="A12" s="2" t="s">
        <v>44</v>
      </c>
      <c r="B12" s="2" t="s">
        <v>205</v>
      </c>
      <c r="C12" s="2" t="s">
        <v>205</v>
      </c>
      <c r="D12" s="2" t="s">
        <v>205</v>
      </c>
      <c r="E12" s="2" t="s">
        <v>205</v>
      </c>
      <c r="F12" s="2" t="s">
        <v>205</v>
      </c>
      <c r="G12" s="2" t="s">
        <v>205</v>
      </c>
      <c r="H12" s="2" t="s">
        <v>205</v>
      </c>
      <c r="I12" s="2" t="s">
        <v>205</v>
      </c>
      <c r="J12" s="2" t="s">
        <v>2025</v>
      </c>
      <c r="K12" s="2" t="s">
        <v>2026</v>
      </c>
      <c r="L12" s="2" t="s">
        <v>2026</v>
      </c>
      <c r="M12" s="2" t="s">
        <v>2026</v>
      </c>
      <c r="N12" s="2" t="s">
        <v>2027</v>
      </c>
      <c r="O12" s="2">
        <f t="shared" si="0"/>
        <v>8</v>
      </c>
      <c r="P12" s="2">
        <v>8</v>
      </c>
      <c r="Q12" s="15">
        <f t="shared" si="1"/>
        <v>1</v>
      </c>
      <c r="R12" s="2" t="s">
        <v>2028</v>
      </c>
      <c r="S12" s="2" t="s">
        <v>2029</v>
      </c>
    </row>
    <row r="13" spans="1:19" ht="28">
      <c r="A13" s="2" t="s">
        <v>59</v>
      </c>
      <c r="B13" s="2" t="s">
        <v>205</v>
      </c>
      <c r="C13" s="2" t="s">
        <v>205</v>
      </c>
      <c r="D13" s="2" t="s">
        <v>205</v>
      </c>
      <c r="E13" s="2" t="s">
        <v>205</v>
      </c>
      <c r="F13" s="2" t="s">
        <v>2030</v>
      </c>
      <c r="G13" s="2" t="s">
        <v>2030</v>
      </c>
      <c r="H13" s="2" t="s">
        <v>2030</v>
      </c>
      <c r="I13" s="2" t="s">
        <v>205</v>
      </c>
      <c r="J13" s="2" t="s">
        <v>2025</v>
      </c>
      <c r="K13" s="2" t="s">
        <v>2026</v>
      </c>
      <c r="L13" s="2" t="s">
        <v>2026</v>
      </c>
      <c r="M13" s="2" t="s">
        <v>2026</v>
      </c>
      <c r="N13" s="2" t="s">
        <v>2031</v>
      </c>
      <c r="O13" s="2">
        <f t="shared" si="0"/>
        <v>8</v>
      </c>
      <c r="P13" s="2">
        <v>8</v>
      </c>
      <c r="Q13" s="15">
        <f t="shared" si="1"/>
        <v>1</v>
      </c>
      <c r="R13" s="2" t="s">
        <v>2032</v>
      </c>
      <c r="S13" s="2" t="s">
        <v>2033</v>
      </c>
    </row>
    <row r="14" spans="1:19" ht="28">
      <c r="A14" s="2" t="s">
        <v>272</v>
      </c>
      <c r="B14" s="2" t="s">
        <v>205</v>
      </c>
      <c r="C14" s="2" t="s">
        <v>205</v>
      </c>
      <c r="D14" s="2" t="s">
        <v>205</v>
      </c>
      <c r="E14" s="2" t="s">
        <v>205</v>
      </c>
      <c r="F14" s="2" t="s">
        <v>205</v>
      </c>
      <c r="G14" s="2" t="s">
        <v>205</v>
      </c>
      <c r="H14" s="2" t="s">
        <v>205</v>
      </c>
      <c r="I14" s="2" t="s">
        <v>205</v>
      </c>
      <c r="J14" s="2" t="s">
        <v>2025</v>
      </c>
      <c r="K14" s="2" t="s">
        <v>2026</v>
      </c>
      <c r="L14" s="2" t="s">
        <v>2026</v>
      </c>
      <c r="M14" s="2" t="s">
        <v>2026</v>
      </c>
      <c r="N14" s="2" t="s">
        <v>2027</v>
      </c>
      <c r="O14" s="2">
        <f t="shared" si="0"/>
        <v>8</v>
      </c>
      <c r="P14" s="2">
        <v>8</v>
      </c>
      <c r="Q14" s="15">
        <f t="shared" si="1"/>
        <v>1</v>
      </c>
      <c r="R14" s="2" t="s">
        <v>2028</v>
      </c>
      <c r="S14" s="2" t="s">
        <v>2029</v>
      </c>
    </row>
    <row r="15" spans="1:19" ht="28">
      <c r="A15" s="2" t="s">
        <v>276</v>
      </c>
      <c r="B15" s="2" t="s">
        <v>205</v>
      </c>
      <c r="C15" s="2" t="s">
        <v>205</v>
      </c>
      <c r="D15" s="2" t="s">
        <v>205</v>
      </c>
      <c r="E15" s="2" t="s">
        <v>205</v>
      </c>
      <c r="F15" s="2" t="s">
        <v>205</v>
      </c>
      <c r="G15" s="2" t="s">
        <v>205</v>
      </c>
      <c r="H15" s="2" t="s">
        <v>205</v>
      </c>
      <c r="I15" s="2" t="s">
        <v>205</v>
      </c>
      <c r="J15" s="2" t="s">
        <v>2025</v>
      </c>
      <c r="K15" s="2" t="s">
        <v>2026</v>
      </c>
      <c r="L15" s="2" t="s">
        <v>2026</v>
      </c>
      <c r="M15" s="2" t="s">
        <v>2026</v>
      </c>
      <c r="N15" s="2" t="s">
        <v>2027</v>
      </c>
      <c r="O15" s="2">
        <f t="shared" si="0"/>
        <v>8</v>
      </c>
      <c r="P15" s="2">
        <v>8</v>
      </c>
      <c r="Q15" s="15">
        <f t="shared" si="1"/>
        <v>1</v>
      </c>
      <c r="R15" s="2" t="s">
        <v>2028</v>
      </c>
      <c r="S15" s="2" t="s">
        <v>2029</v>
      </c>
    </row>
    <row r="16" spans="1:19" ht="28">
      <c r="A16" s="2" t="s">
        <v>100</v>
      </c>
      <c r="B16" s="2" t="s">
        <v>205</v>
      </c>
      <c r="C16" s="2" t="s">
        <v>205</v>
      </c>
      <c r="D16" s="2" t="s">
        <v>205</v>
      </c>
      <c r="E16" s="2" t="s">
        <v>205</v>
      </c>
      <c r="F16" s="2" t="s">
        <v>2030</v>
      </c>
      <c r="G16" s="2" t="s">
        <v>2030</v>
      </c>
      <c r="H16" s="2" t="s">
        <v>2030</v>
      </c>
      <c r="I16" s="2" t="s">
        <v>205</v>
      </c>
      <c r="J16" s="2" t="s">
        <v>2025</v>
      </c>
      <c r="K16" s="2" t="s">
        <v>2026</v>
      </c>
      <c r="L16" s="2" t="s">
        <v>2026</v>
      </c>
      <c r="M16" s="2" t="s">
        <v>2026</v>
      </c>
      <c r="N16" s="2" t="s">
        <v>2031</v>
      </c>
      <c r="O16" s="2">
        <f t="shared" si="0"/>
        <v>8</v>
      </c>
      <c r="P16" s="2">
        <v>8</v>
      </c>
      <c r="Q16" s="15">
        <f t="shared" si="1"/>
        <v>1</v>
      </c>
      <c r="R16" s="2" t="s">
        <v>2032</v>
      </c>
      <c r="S16" s="2" t="s">
        <v>2033</v>
      </c>
    </row>
    <row r="17" spans="1:19" ht="28">
      <c r="A17" s="2" t="s">
        <v>96</v>
      </c>
      <c r="B17" s="2" t="s">
        <v>205</v>
      </c>
      <c r="C17" s="2" t="s">
        <v>205</v>
      </c>
      <c r="D17" s="2" t="s">
        <v>205</v>
      </c>
      <c r="E17" s="2" t="s">
        <v>213</v>
      </c>
      <c r="F17" s="2" t="s">
        <v>213</v>
      </c>
      <c r="G17" s="2" t="s">
        <v>213</v>
      </c>
      <c r="H17" s="2" t="s">
        <v>213</v>
      </c>
      <c r="I17" s="2" t="s">
        <v>205</v>
      </c>
      <c r="J17" s="2" t="s">
        <v>2025</v>
      </c>
      <c r="K17" s="2" t="s">
        <v>2026</v>
      </c>
      <c r="L17" s="2" t="s">
        <v>2026</v>
      </c>
      <c r="M17" s="2" t="s">
        <v>2034</v>
      </c>
      <c r="N17" s="2" t="s">
        <v>2035</v>
      </c>
      <c r="O17" s="2">
        <f t="shared" si="0"/>
        <v>4</v>
      </c>
      <c r="P17" s="2">
        <v>8</v>
      </c>
      <c r="Q17" s="15">
        <f t="shared" si="1"/>
        <v>0.5</v>
      </c>
      <c r="R17" s="2" t="s">
        <v>2036</v>
      </c>
      <c r="S17" s="2" t="s">
        <v>2037</v>
      </c>
    </row>
    <row r="18" spans="1:19" ht="28">
      <c r="A18" s="2" t="s">
        <v>86</v>
      </c>
      <c r="B18" s="2" t="s">
        <v>205</v>
      </c>
      <c r="C18" s="2" t="s">
        <v>205</v>
      </c>
      <c r="D18" s="2" t="s">
        <v>205</v>
      </c>
      <c r="E18" s="2" t="s">
        <v>213</v>
      </c>
      <c r="F18" s="2" t="s">
        <v>213</v>
      </c>
      <c r="G18" s="2" t="s">
        <v>213</v>
      </c>
      <c r="H18" s="2" t="s">
        <v>213</v>
      </c>
      <c r="I18" s="2" t="s">
        <v>205</v>
      </c>
      <c r="J18" s="2" t="s">
        <v>213</v>
      </c>
      <c r="K18" s="2" t="s">
        <v>2026</v>
      </c>
      <c r="L18" s="2" t="s">
        <v>2026</v>
      </c>
      <c r="M18" s="2" t="s">
        <v>2034</v>
      </c>
      <c r="N18" s="2" t="s">
        <v>2038</v>
      </c>
      <c r="O18" s="2">
        <f t="shared" si="0"/>
        <v>4</v>
      </c>
      <c r="P18" s="2">
        <v>8</v>
      </c>
      <c r="Q18" s="15">
        <f t="shared" si="1"/>
        <v>0.5</v>
      </c>
      <c r="R18" s="2" t="s">
        <v>2039</v>
      </c>
      <c r="S18" s="2" t="s">
        <v>2040</v>
      </c>
    </row>
    <row r="19" spans="1:19" ht="28">
      <c r="A19" s="2" t="s">
        <v>76</v>
      </c>
      <c r="B19" s="2" t="s">
        <v>205</v>
      </c>
      <c r="C19" s="2" t="s">
        <v>205</v>
      </c>
      <c r="D19" s="2" t="s">
        <v>205</v>
      </c>
      <c r="E19" s="2" t="s">
        <v>205</v>
      </c>
      <c r="F19" s="2" t="s">
        <v>205</v>
      </c>
      <c r="G19" s="2" t="s">
        <v>205</v>
      </c>
      <c r="H19" s="2" t="s">
        <v>205</v>
      </c>
      <c r="I19" s="2" t="s">
        <v>205</v>
      </c>
      <c r="J19" s="2" t="s">
        <v>2025</v>
      </c>
      <c r="K19" s="2" t="s">
        <v>2026</v>
      </c>
      <c r="L19" s="2" t="s">
        <v>2026</v>
      </c>
      <c r="M19" s="2" t="s">
        <v>2026</v>
      </c>
      <c r="N19" s="2" t="s">
        <v>2027</v>
      </c>
      <c r="O19" s="2">
        <f t="shared" si="0"/>
        <v>8</v>
      </c>
      <c r="P19" s="2">
        <v>8</v>
      </c>
      <c r="Q19" s="15">
        <f t="shared" si="1"/>
        <v>1</v>
      </c>
      <c r="R19" s="2" t="s">
        <v>2028</v>
      </c>
      <c r="S19" s="2" t="s">
        <v>2029</v>
      </c>
    </row>
    <row r="20" spans="1:19" ht="28">
      <c r="A20" s="2" t="s">
        <v>344</v>
      </c>
      <c r="B20" s="2" t="s">
        <v>2041</v>
      </c>
      <c r="C20" s="2" t="s">
        <v>205</v>
      </c>
      <c r="D20" s="2" t="s">
        <v>205</v>
      </c>
      <c r="E20" s="2" t="s">
        <v>205</v>
      </c>
      <c r="F20" s="2" t="s">
        <v>205</v>
      </c>
      <c r="G20" s="2" t="s">
        <v>205</v>
      </c>
      <c r="H20" s="2" t="s">
        <v>205</v>
      </c>
      <c r="I20" s="2" t="s">
        <v>205</v>
      </c>
      <c r="J20" s="2" t="s">
        <v>2025</v>
      </c>
      <c r="K20" s="2" t="s">
        <v>2042</v>
      </c>
      <c r="L20" s="2" t="s">
        <v>2026</v>
      </c>
      <c r="M20" s="2" t="s">
        <v>2026</v>
      </c>
      <c r="N20" s="2" t="s">
        <v>2027</v>
      </c>
      <c r="O20" s="2">
        <f t="shared" si="0"/>
        <v>8</v>
      </c>
      <c r="P20" s="2">
        <v>8</v>
      </c>
      <c r="Q20" s="15">
        <f t="shared" si="1"/>
        <v>1</v>
      </c>
      <c r="R20" s="2" t="s">
        <v>2043</v>
      </c>
      <c r="S20" s="2" t="s">
        <v>2044</v>
      </c>
    </row>
  </sheetData>
  <conditionalFormatting sqref="Q2:Q20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01_Current_Admin</vt:lpstr>
      <vt:lpstr>02_Evidence_Log</vt:lpstr>
      <vt:lpstr>03_District_Profile</vt:lpstr>
      <vt:lpstr>04_Market_Locations</vt:lpstr>
      <vt:lpstr>05_District_Market_Footprint</vt:lpstr>
      <vt:lpstr>06_iCare_Coverage_Evidence</vt:lpstr>
      <vt:lpstr>07_District_Traffic_Evidence</vt:lpstr>
      <vt:lpstr>08_District_Traffic_Summary</vt:lpstr>
      <vt:lpstr>11_Old_Project_Universe_Researc</vt:lpstr>
      <vt:lpstr>12_Old_Project_Universe_Method</vt:lpstr>
      <vt:lpstr>13_Additional_Context_Evidence</vt:lpstr>
      <vt:lpstr>09_District_Opportunity_Base</vt:lpstr>
      <vt:lpstr>10_Gaps_Next</vt:lpstr>
      <vt:lpstr>14_Complete_Screening_Core</vt:lpstr>
      <vt:lpstr>15_Top3_Corridor_Research</vt:lpstr>
      <vt:lpstr>16_Top3_Corridor_Evidence</vt:lpstr>
      <vt:lpstr>17_Top3_Corridor_Method</vt:lpstr>
      <vt:lpstr>18_Corridor_Context_Anchors</vt:lpstr>
      <vt:lpstr>19_Corridor_Rent_Evidence</vt:lpstr>
      <vt:lpstr>20_Corridor_Property_Proxy</vt:lpstr>
      <vt:lpstr>21_Corridor_DeepDive_Readiness</vt:lpstr>
      <vt:lpstr>22_Corridor_Rent_Summary</vt:lpstr>
      <vt:lpstr>23_Corridor_Research_Status</vt:lpstr>
      <vt:lpstr>24_Top5_Research_Audit</vt:lpstr>
      <vt:lpstr>25_Top5_Data_Completeness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HuyPk</dc:creator>
  <cp:lastModifiedBy>Huy Vuong</cp:lastModifiedBy>
  <dcterms:modified xsi:type="dcterms:W3CDTF">2026-10-20T06:51:30Z</dcterms:modified>
</cp:coreProperties>
</file>